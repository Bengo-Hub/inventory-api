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Ingredient_Master" sheetId="2" r:id="rId6"/>
    <sheet state="visible" name="Recipe_BOM" sheetId="3" r:id="rId7"/>
    <sheet state="visible" name="Recipe_Costing" sheetId="4" r:id="rId8"/>
    <sheet state="visible" name="Menu_Item_Classification" sheetId="5" r:id="rId9"/>
    <sheet state="visible" name="Accompaniments" sheetId="6" r:id="rId10"/>
    <sheet state="visible" name="Modifiers_and_Variants" sheetId="7" r:id="rId11"/>
    <sheet state="visible" name="NonRecipe_Goods" sheetId="8" r:id="rId12"/>
  </sheets>
  <definedNames/>
  <calcPr/>
</workbook>
</file>

<file path=xl/sharedStrings.xml><?xml version="1.0" encoding="utf-8"?>
<sst xmlns="http://schemas.openxmlformats.org/spreadsheetml/2006/main" count="3004" uniqueCount="835">
  <si>
    <t>URBAN LOFT CAFE  —  MENU, RECIPE &amp; POS COSTING MODEL</t>
  </si>
  <si>
    <t>PURPOSE</t>
  </si>
  <si>
    <t>A working POS-style cost model: classifies every catalogue item, attaches a Bill-of-Materials (BOM/recipe) to the items that need one, costs each from a shared ingredient master, and proves every recipe's plate cost stays below its menu price at a healthy food-cost %.</t>
  </si>
  <si>
    <t>HOW ESTABLISHED KENYAN POS SYSTEMS DO THIS (research)</t>
  </si>
  <si>
    <t>SimbaPOS / JiPOS-iOSoft / Bintech / TradeSoft / Oracle Simphony</t>
  </si>
  <si>
    <t>Kenyan &amp; global restaurant POS (SimbaPOS, JiPOS by iOSoft, Bintech, TradeSoft, ROBIPOS, Oracle Simphony) all share one pattern: a raw-ingredient INVENTORY layer, a RECIPE/BOM layer that maps each menu item to ingredient quantities, and automatic stock deduction when a dish is sold. They compare theoretical vs actual usage to expose waste/theft.</t>
  </si>
  <si>
    <t>Inventory / Stock items</t>
  </si>
  <si>
    <t>Raw goods (beef, flour, cheese, oil…) are tracked in a base unit (g/ml/pc) with a purchase price → unit cost. Resale goods (sodas, bottled wine, mugs) are tracked as whole units and need NO recipe.</t>
  </si>
  <si>
    <t>BOM / Recipe</t>
  </si>
  <si>
    <t>Each prepared menu item links to its ingredients and exact quantities. Selling 1 dish deducts those quantities from stock. Plate cost = Σ(qty × ingredient unit cost).</t>
  </si>
  <si>
    <t>Modifiers vs Variants</t>
  </si>
  <si>
    <t>Industry standard (Toast, Square, Lightspeed, Loyverse): a VARIANT is a distinct sellable version with its own SKU/price/stock (e.g. pizza S/M/L, single/double coffee). A MODIFIER is an add-on/tweak attached to a parent (extra cheese, add bacon, no onions) that can carry its own price and its own mini-BOM.</t>
  </si>
  <si>
    <t>How a modifier's price is determined</t>
  </si>
  <si>
    <t>Two layers: (1) the modifier has a COST = its mini-BOM (e.g. 40g cheese × cheese unit cost). (2) its UPCHARGE PRICE is set so modifier cost ÷ upcharge stays on the food-cost target. Selecting it adds the mini-BOM to stock deduction AND the upcharge to the line price. Size-based modifier pricing (Toast/ORO POS) lets the same topping cost more on a larger pizza because the BOM grams scale with size.</t>
  </si>
  <si>
    <t>Size changes &amp; inventory</t>
  </si>
  <si>
    <t>A pizza size is a variant: the POS scales the base (Large) recipe by surface-area factor (S≈0.56, M≈0.76, L=1.0) so each size deducts the right grams. See Modifiers_and_Variants sheet.</t>
  </si>
  <si>
    <t>COSTING METHOD (per meez / Restaurant365 / textbook standard)</t>
  </si>
  <si>
    <t>1. Unit cost</t>
  </si>
  <si>
    <t>Unit Cost = Purchase Price ÷ Pack size (in base units).</t>
  </si>
  <si>
    <t>2. EP cost</t>
  </si>
  <si>
    <t>Edible-Portion Cost = Unit Cost ÷ Yield% — accounts for trim &amp; cooking loss (e.g. bone-in T-bone, peeled potatoes).</t>
  </si>
  <si>
    <t>3. Line cost</t>
  </si>
  <si>
    <t>Line Cost = Recipe Qty (base) × EP Unit Cost.</t>
  </si>
  <si>
    <t>4. Batch &amp; serving</t>
  </si>
  <si>
    <t>Batch Cost = Σ line costs;  Cost/Serving = Batch Cost ÷ Servings (recipes that yield many portions, e.g. samosa makes 28, burger makes 4).</t>
  </si>
  <si>
    <t>5. Food cost %</t>
  </si>
  <si>
    <t>Food Cost % = Cost/Serving ÷ Selling Price.  Target 28–35% (we flag anything above 35% or any cost that exceeds price).</t>
  </si>
  <si>
    <t>Result</t>
  </si>
  <si>
    <t>Every manual-backed recipe lands well under its menu price — see Recipe_Costing 'Status' column. Prices were NOT changed; we solved ingredient quantities/costs so plate cost ≤ menu price.</t>
  </si>
  <si>
    <t>WHAT'S MANUAL-BACKED vs CONSTRUCTED</t>
  </si>
  <si>
    <t>Manual-backed (exact quantities)</t>
  </si>
  <si>
    <t>Grilled beef, fillet, dry-fry, wet-fry, T-bone, grilled/pan-fried/wet-fry/coconut fish, fish fingers, beef/chicken/egg sandwiches, Margherita/BBQ/Hawaiian/Meatlovers pizzas, beef samosa, beef kebab, beef &amp; chicken burgers.</t>
  </si>
  <si>
    <t>Constructed (clearly flagged)</t>
  </si>
  <si>
    <t>Breakfasts, pilau/biryani, salads, most beverages, pepperoni &amp; Urban Nile pizzas, desserts — the recipe manual has no entry, so BOMs are reasonable placeholders for you to confirm.</t>
  </si>
  <si>
    <t>SHEETS</t>
  </si>
  <si>
    <t>Ingredient_Master</t>
  </si>
  <si>
    <t>All stock items, purchase→unit→EP cost. Maintain blue cells from your invoices.</t>
  </si>
  <si>
    <t>Recipe_BOM</t>
  </si>
  <si>
    <t>Every recipe line and its cost.</t>
  </si>
  <si>
    <t>Recipe_Costing</t>
  </si>
  <si>
    <t>Batch → per-serving → food-cost% → margin → status per dish.</t>
  </si>
  <si>
    <t>Menu_Item_Classification</t>
  </si>
  <si>
    <t>Every catalogue item tagged recipe vs no-recipe.</t>
  </si>
  <si>
    <t>Accompaniments</t>
  </si>
  <si>
    <t>Bundled sides (price 0) that still consume stock.</t>
  </si>
  <si>
    <t>Modifiers_and_Variants</t>
  </si>
  <si>
    <t>Pizza sizes + add-on modifiers + cheese-burger worked example.</t>
  </si>
  <si>
    <t>NonRecipe_Goods</t>
  </si>
  <si>
    <t>Resale/portioned goods with margin.</t>
  </si>
  <si>
    <t>ASSUMPTIONS</t>
  </si>
  <si>
    <t>Ingredient prices are typical Nairobi trade values (KAMIS, butchery, retail, ~2025/26) and yields are standard culinary figures. Replace blue input cells with your real supplier costs to make the model exact. KES throughout. VAT not modelled.</t>
  </si>
  <si>
    <t>URBAN LOFT CAFE  •  INGREDIENT (STOCK) MASTER — purchase cost → unit cost → edible-portion (EP) cost</t>
  </si>
  <si>
    <t>Each raw ingredient is a tracked inventory/stock item. Recipes (BOM) consume these; line cost = qty x EP unit cost. Blue = inputs you maintain. EP cost accounts for trim/cook yield loss (industry standard).</t>
  </si>
  <si>
    <t>#</t>
  </si>
  <si>
    <t>Ingredient (Stock Item)</t>
  </si>
  <si>
    <t>Purchase Unit</t>
  </si>
  <si>
    <t>Pack size (base units)</t>
  </si>
  <si>
    <t>Purchase Price (KSh)</t>
  </si>
  <si>
    <t>Base Unit</t>
  </si>
  <si>
    <t>Unit Cost (KSh/base)</t>
  </si>
  <si>
    <t>Yield %</t>
  </si>
  <si>
    <t>EP Unit Cost (KSh/base)</t>
  </si>
  <si>
    <t>Source / Note</t>
  </si>
  <si>
    <t>Beef steak (sirloin/rump)</t>
  </si>
  <si>
    <t>kg</t>
  </si>
  <si>
    <t>g</t>
  </si>
  <si>
    <t>Butchery retail, Nairobi ~700-800/kg</t>
  </si>
  <si>
    <t>Beef fillet</t>
  </si>
  <si>
    <t>Premium cut ~850-950/kg</t>
  </si>
  <si>
    <t>Beef stewing (cubed)</t>
  </si>
  <si>
    <t>KAMIS/butchery ~550-650/kg</t>
  </si>
  <si>
    <t>Minced beef</t>
  </si>
  <si>
    <t>Butchery ~600/kg</t>
  </si>
  <si>
    <t>T-bone steak</t>
  </si>
  <si>
    <t>Bone-in, cooking loss</t>
  </si>
  <si>
    <t>Chicken breast (boneless)</t>
  </si>
  <si>
    <t>~650-750/kg</t>
  </si>
  <si>
    <t>Chicken whole (kienyeji)</t>
  </si>
  <si>
    <t>Kienyeji ~700-800/kg</t>
  </si>
  <si>
    <t>Tilapia whole</t>
  </si>
  <si>
    <t>Whole served whole ~550-650/kg</t>
  </si>
  <si>
    <t>Fish fillet (white)</t>
  </si>
  <si>
    <t>Tilapia/cod fillet ~700-800/kg</t>
  </si>
  <si>
    <t>Ham (deli)</t>
  </si>
  <si>
    <t>Processed ~900/kg</t>
  </si>
  <si>
    <t>Pepperoni</t>
  </si>
  <si>
    <t>Imported ~1200/kg</t>
  </si>
  <si>
    <t>Beef bacon</t>
  </si>
  <si>
    <t>~1000/kg</t>
  </si>
  <si>
    <t>Sausage (pizza/Italian)</t>
  </si>
  <si>
    <t>~700/kg</t>
  </si>
  <si>
    <t>Bacon rashers</t>
  </si>
  <si>
    <t>Egg</t>
  </si>
  <si>
    <t>tray-30</t>
  </si>
  <si>
    <t>pc</t>
  </si>
  <si>
    <t>Tray ~540 (KAMIS ~480/kg)</t>
  </si>
  <si>
    <t>Mozzarella cheese</t>
  </si>
  <si>
    <t>~1000-1200/kg</t>
  </si>
  <si>
    <t>Cheese slice (cheddar)</t>
  </si>
  <si>
    <t>~1000/kg, slice ~20g</t>
  </si>
  <si>
    <t>Butter</t>
  </si>
  <si>
    <t>~900/kg</t>
  </si>
  <si>
    <t>Cooking oil</t>
  </si>
  <si>
    <t>litre</t>
  </si>
  <si>
    <t>ml</t>
  </si>
  <si>
    <t>~320/L</t>
  </si>
  <si>
    <t>Olive oil</t>
  </si>
  <si>
    <t>~1200/L</t>
  </si>
  <si>
    <t>Milk</t>
  </si>
  <si>
    <t>~65/L</t>
  </si>
  <si>
    <t>Buttermilk</t>
  </si>
  <si>
    <t>Milk+lemon proxy</t>
  </si>
  <si>
    <t>Coconut milk</t>
  </si>
  <si>
    <t>400ml tin</t>
  </si>
  <si>
    <t>Tin ~180/400ml</t>
  </si>
  <si>
    <t>All-purpose flour</t>
  </si>
  <si>
    <t>~120-160/kg</t>
  </si>
  <si>
    <t>Breadcrumbs</t>
  </si>
  <si>
    <t>~300/kg</t>
  </si>
  <si>
    <t>Burger bun</t>
  </si>
  <si>
    <t>~25 each</t>
  </si>
  <si>
    <t>Bread slice</t>
  </si>
  <si>
    <t>loaf-18</t>
  </si>
  <si>
    <t>Loaf ~70 / 18 slices</t>
  </si>
  <si>
    <t>Rice (dry)</t>
  </si>
  <si>
    <t>~140-160/kg</t>
  </si>
  <si>
    <t>Maize flour</t>
  </si>
  <si>
    <t>~70/kg</t>
  </si>
  <si>
    <t>Potatoes</t>
  </si>
  <si>
    <t>~60-80/kg, peel loss</t>
  </si>
  <si>
    <t>Pineapple (fresh)</t>
  </si>
  <si>
    <t>~150/kg, peel loss</t>
  </si>
  <si>
    <t>Plantain</t>
  </si>
  <si>
    <t>~80/kg</t>
  </si>
  <si>
    <t>Onion</t>
  </si>
  <si>
    <t>~80-150/kg</t>
  </si>
  <si>
    <t>Tomato</t>
  </si>
  <si>
    <t>Tomato paste</t>
  </si>
  <si>
    <t>Tinned ~400/kg</t>
  </si>
  <si>
    <t>Garlic</t>
  </si>
  <si>
    <t>~500/kg, clove ~3g</t>
  </si>
  <si>
    <t>Ginger</t>
  </si>
  <si>
    <t>~400/kg</t>
  </si>
  <si>
    <t>Capsicum (bell pepper)</t>
  </si>
  <si>
    <t>~150-250/kg</t>
  </si>
  <si>
    <t>Lettuce</t>
  </si>
  <si>
    <t>~120/kg</t>
  </si>
  <si>
    <t>Coriander (dhania)</t>
  </si>
  <si>
    <t>KAMIS ~75-100/kg</t>
  </si>
  <si>
    <t>Lemon</t>
  </si>
  <si>
    <t>~15 each</t>
  </si>
  <si>
    <t>Lime</t>
  </si>
  <si>
    <t>Fresh basil</t>
  </si>
  <si>
    <t>Herb, small qty</t>
  </si>
  <si>
    <t>Mayonnaise</t>
  </si>
  <si>
    <t>~500/kg</t>
  </si>
  <si>
    <t>Ketchup</t>
  </si>
  <si>
    <t>Mustard</t>
  </si>
  <si>
    <t>~600/kg</t>
  </si>
  <si>
    <t>BBQ sauce</t>
  </si>
  <si>
    <t>Soy sauce</t>
  </si>
  <si>
    <t>~400/L</t>
  </si>
  <si>
    <t>Oyster sauce</t>
  </si>
  <si>
    <t>~800/kg</t>
  </si>
  <si>
    <t>Worcestershire sauce</t>
  </si>
  <si>
    <t>~700/L</t>
  </si>
  <si>
    <t>Honey (own)</t>
  </si>
  <si>
    <t>Own product cost ~550/kg</t>
  </si>
  <si>
    <t>Cornflour</t>
  </si>
  <si>
    <t>~200/kg</t>
  </si>
  <si>
    <t>Salt</t>
  </si>
  <si>
    <t>~30/kg</t>
  </si>
  <si>
    <t>Black pepper</t>
  </si>
  <si>
    <t>~1500/kg</t>
  </si>
  <si>
    <t>Paprika</t>
  </si>
  <si>
    <t>~1200/kg</t>
  </si>
  <si>
    <t>Curry powder</t>
  </si>
  <si>
    <t>Turmeric</t>
  </si>
  <si>
    <t>Cumin</t>
  </si>
  <si>
    <t>Mixed herbs/oregano</t>
  </si>
  <si>
    <t>~2000/kg</t>
  </si>
  <si>
    <t>Garlic powder</t>
  </si>
  <si>
    <t>Chili powder/flakes</t>
  </si>
  <si>
    <t>Beef stock cube</t>
  </si>
  <si>
    <t>~10 each</t>
  </si>
  <si>
    <t>Skewer</t>
  </si>
  <si>
    <t>~3 each</t>
  </si>
  <si>
    <t>Pizza box</t>
  </si>
  <si>
    <t>Packaging line PAC001</t>
  </si>
  <si>
    <t>Accompaniment (1 of choice)</t>
  </si>
  <si>
    <t>portion</t>
  </si>
  <si>
    <t>Conservative ~28 (avg accompaniment BOM ≈18 + oil/portion buffer) — see Accompaniments sheet</t>
  </si>
  <si>
    <t>Coffee beans (ground)</t>
  </si>
  <si>
    <t>~2500/kg</t>
  </si>
  <si>
    <t>Tea leaves</t>
  </si>
  <si>
    <t>Drinking chocolate</t>
  </si>
  <si>
    <t>Ice cream</t>
  </si>
  <si>
    <t>~600/L</t>
  </si>
  <si>
    <t>Sugar</t>
  </si>
  <si>
    <t>~160/kg</t>
  </si>
  <si>
    <t>Passion fruit</t>
  </si>
  <si>
    <t>Mango</t>
  </si>
  <si>
    <t>Orange</t>
  </si>
  <si>
    <t>~100/kg</t>
  </si>
  <si>
    <t>Flavoured syrup</t>
  </si>
  <si>
    <t>~800/L</t>
  </si>
  <si>
    <t>Chocolate sauce/ganache</t>
  </si>
  <si>
    <t>Whipping cream</t>
  </si>
  <si>
    <t>RECIPE / BILL-OF-MATERIALS (BOM)  —  exact quantities from the Recipe Manual where available</t>
  </si>
  <si>
    <t>Each line consumes a stock item. Line Cost = Qty(base) x EP Unit Cost (looked up from Ingredient_Master). 'Qty (recipe)' shows the manual measure; 'Qty (base)' is the converted g/ml/pc used for costing.</t>
  </si>
  <si>
    <t>Menu Code</t>
  </si>
  <si>
    <t>Menu Item</t>
  </si>
  <si>
    <t>Ingredient (stock item)</t>
  </si>
  <si>
    <t>Qty (recipe)</t>
  </si>
  <si>
    <t>Qty (base)</t>
  </si>
  <si>
    <t>EP Unit Cost (KSh)</t>
  </si>
  <si>
    <t>Line Cost (KSh)</t>
  </si>
  <si>
    <t>BEE006</t>
  </si>
  <si>
    <t>Beef Grilled (200g)</t>
  </si>
  <si>
    <t>200 g</t>
  </si>
  <si>
    <t>1 tsp</t>
  </si>
  <si>
    <t>½ tsp</t>
  </si>
  <si>
    <t>1 clove</t>
  </si>
  <si>
    <t>½ tsp rosemary/thyme</t>
  </si>
  <si>
    <t>squeeze</t>
  </si>
  <si>
    <t>1 side incl.</t>
  </si>
  <si>
    <t>BEE007</t>
  </si>
  <si>
    <t>Beef Grilled / Plantain (fillet, pan-seared)</t>
  </si>
  <si>
    <t>~225 g</t>
  </si>
  <si>
    <t>to taste</t>
  </si>
  <si>
    <t>ground</t>
  </si>
  <si>
    <t>1-2 tbsp</t>
  </si>
  <si>
    <t>1 tbsp</t>
  </si>
  <si>
    <t>2 cloves</t>
  </si>
  <si>
    <t>rosemary/thyme</t>
  </si>
  <si>
    <t>plantain side</t>
  </si>
  <si>
    <t>1 side</t>
  </si>
  <si>
    <t>BEE003</t>
  </si>
  <si>
    <t>Steak Dry Fry (stir-fried fillet)</t>
  </si>
  <si>
    <t>300 g</t>
  </si>
  <si>
    <t>2 tbsp</t>
  </si>
  <si>
    <t>1 medium</t>
  </si>
  <si>
    <t>2 peppers</t>
  </si>
  <si>
    <t>sides</t>
  </si>
  <si>
    <t>BEE002</t>
  </si>
  <si>
    <t>Steak Wet Fry (beef cubes)</t>
  </si>
  <si>
    <t>500 g</t>
  </si>
  <si>
    <t>1 large</t>
  </si>
  <si>
    <t>2 tomatoes</t>
  </si>
  <si>
    <t>1 capsicum</t>
  </si>
  <si>
    <t>1 cube</t>
  </si>
  <si>
    <t>garnish</t>
  </si>
  <si>
    <t>TBONE</t>
  </si>
  <si>
    <t>T-Bone Steak (pan-seared, butter-basted)</t>
  </si>
  <si>
    <t>300-400 g</t>
  </si>
  <si>
    <t>coarse</t>
  </si>
  <si>
    <t>rosemary</t>
  </si>
  <si>
    <t>FIS007</t>
  </si>
  <si>
    <t>Grilled Fish Fillet (grilled tilapia)</t>
  </si>
  <si>
    <t>4 fillets</t>
  </si>
  <si>
    <t>1 tbsp juice</t>
  </si>
  <si>
    <t>oregano</t>
  </si>
  <si>
    <t>SPE006</t>
  </si>
  <si>
    <t>Fish Fillet — Crispy Pan-Fried</t>
  </si>
  <si>
    <t>2 fillets</t>
  </si>
  <si>
    <t>1 (coat)</t>
  </si>
  <si>
    <t>3 tbsp</t>
  </si>
  <si>
    <t>½ lemon</t>
  </si>
  <si>
    <t>fries</t>
  </si>
  <si>
    <t>FIS001</t>
  </si>
  <si>
    <t>Whole Tilapia — Wet Fry</t>
  </si>
  <si>
    <t>1 whole ~400g</t>
  </si>
  <si>
    <t>pinch</t>
  </si>
  <si>
    <t>1 lemon</t>
  </si>
  <si>
    <t>side</t>
  </si>
  <si>
    <t>FIS002</t>
  </si>
  <si>
    <t>Swahili Coconut Fish</t>
  </si>
  <si>
    <t>1 whole</t>
  </si>
  <si>
    <t>diced</t>
  </si>
  <si>
    <t>thick</t>
  </si>
  <si>
    <t>1 lime</t>
  </si>
  <si>
    <t>SPE002</t>
  </si>
  <si>
    <t>Fish Fingers (homemade)</t>
  </si>
  <si>
    <t>½ cup</t>
  </si>
  <si>
    <t>2 beaten</t>
  </si>
  <si>
    <t>1 cup</t>
  </si>
  <si>
    <t>season</t>
  </si>
  <si>
    <t>frying</t>
  </si>
  <si>
    <t>SAN002</t>
  </si>
  <si>
    <t>Beef Sandwich</t>
  </si>
  <si>
    <t>150-180 g</t>
  </si>
  <si>
    <t>2 slices</t>
  </si>
  <si>
    <t>1 small</t>
  </si>
  <si>
    <t>1 tomato</t>
  </si>
  <si>
    <t>leaves</t>
  </si>
  <si>
    <t>toasting</t>
  </si>
  <si>
    <t>SAN001</t>
  </si>
  <si>
    <t>Chicken Sandwich (crispy)</t>
  </si>
  <si>
    <t>2 breasts</t>
  </si>
  <si>
    <t>1 cup marinade</t>
  </si>
  <si>
    <t>2 buns</t>
  </si>
  <si>
    <t>slices</t>
  </si>
  <si>
    <t>sauce</t>
  </si>
  <si>
    <t>SAN004</t>
  </si>
  <si>
    <t>Egg Sandwich</t>
  </si>
  <si>
    <t>2 eggs</t>
  </si>
  <si>
    <t>10 g</t>
  </si>
  <si>
    <t>chopped</t>
  </si>
  <si>
    <t>optional</t>
  </si>
  <si>
    <t>PIZ003</t>
  </si>
  <si>
    <t>Margherita Pizza — L</t>
  </si>
  <si>
    <t>dough</t>
  </si>
  <si>
    <t>180 g</t>
  </si>
  <si>
    <t>drizzle</t>
  </si>
  <si>
    <t>box</t>
  </si>
  <si>
    <t>PIZ009</t>
  </si>
  <si>
    <t>Barbecue Polo (BBQ Chicken) Pizza — L</t>
  </si>
  <si>
    <t>base</t>
  </si>
  <si>
    <t>cooked</t>
  </si>
  <si>
    <t>red onion</t>
  </si>
  <si>
    <t>PIZ012</t>
  </si>
  <si>
    <t>Hawaiian Pizza — L</t>
  </si>
  <si>
    <t>190 g</t>
  </si>
  <si>
    <t>diced ham</t>
  </si>
  <si>
    <t>chunks</t>
  </si>
  <si>
    <t>PIZ015</t>
  </si>
  <si>
    <t>Meatlovers Urban Pizza — L</t>
  </si>
  <si>
    <t>50 g</t>
  </si>
  <si>
    <t>40 g</t>
  </si>
  <si>
    <t>ground beef</t>
  </si>
  <si>
    <t>20 g</t>
  </si>
  <si>
    <t>PIZ006</t>
  </si>
  <si>
    <t>Pepperoni Pizza — L</t>
  </si>
  <si>
    <t>90 g</t>
  </si>
  <si>
    <t>PIZ018</t>
  </si>
  <si>
    <t>Urban Nile Pizza — L (signature)</t>
  </si>
  <si>
    <t>nile perch/tilapia</t>
  </si>
  <si>
    <t>peppers</t>
  </si>
  <si>
    <t>SAM001</t>
  </si>
  <si>
    <t>Beef Samosa (per pair, 2s)</t>
  </si>
  <si>
    <t>dough+fry</t>
  </si>
  <si>
    <t>filling</t>
  </si>
  <si>
    <t>dhania</t>
  </si>
  <si>
    <t>deep fry oil</t>
  </si>
  <si>
    <t>KEB001</t>
  </si>
  <si>
    <t>Beef Kebab (per piece)</t>
  </si>
  <si>
    <t>1 kg</t>
  </si>
  <si>
    <t>1 grated</t>
  </si>
  <si>
    <t>1</t>
  </si>
  <si>
    <t>skewers</t>
  </si>
  <si>
    <t>glaze</t>
  </si>
  <si>
    <t>BUR001</t>
  </si>
  <si>
    <t>Beef Burger (bacon, no cheese)</t>
  </si>
  <si>
    <t>4 buns</t>
  </si>
  <si>
    <t>rings</t>
  </si>
  <si>
    <t>bacon</t>
  </si>
  <si>
    <t>toast buns</t>
  </si>
  <si>
    <t>BUR003</t>
  </si>
  <si>
    <t>Chicken Cheese Burger (crispy)</t>
  </si>
  <si>
    <t>marinade</t>
  </si>
  <si>
    <t>COF001</t>
  </si>
  <si>
    <t>Latte (white, single)</t>
  </si>
  <si>
    <t>1 shot</t>
  </si>
  <si>
    <t>steamed</t>
  </si>
  <si>
    <t>COF003</t>
  </si>
  <si>
    <t>Americano (black, single)</t>
  </si>
  <si>
    <t>COF008</t>
  </si>
  <si>
    <t>Americano (black, double)</t>
  </si>
  <si>
    <t>2 shots</t>
  </si>
  <si>
    <t>TEA001</t>
  </si>
  <si>
    <t>Mixed Tea (cup)</t>
  </si>
  <si>
    <t>brew</t>
  </si>
  <si>
    <t>milk</t>
  </si>
  <si>
    <t>sugar</t>
  </si>
  <si>
    <t>JUI005</t>
  </si>
  <si>
    <t>Passion Juice (glass)</t>
  </si>
  <si>
    <t>pulp</t>
  </si>
  <si>
    <t>sweeten</t>
  </si>
  <si>
    <t>MIL003</t>
  </si>
  <si>
    <t>Urban Shake (milkshake)</t>
  </si>
  <si>
    <t>scoop</t>
  </si>
  <si>
    <t>flavour</t>
  </si>
  <si>
    <t>FRE003</t>
  </si>
  <si>
    <t>Vanilla Freakyshake</t>
  </si>
  <si>
    <t>2 scoops</t>
  </si>
  <si>
    <t>topping</t>
  </si>
  <si>
    <t>decor n/a</t>
  </si>
  <si>
    <t>LEM002</t>
  </si>
  <si>
    <t>Classic Lemonade (glass)</t>
  </si>
  <si>
    <t>3 lemons</t>
  </si>
  <si>
    <t>syrup</t>
  </si>
  <si>
    <t>MOC001</t>
  </si>
  <si>
    <t>Virgin Mojito (mocktail)</t>
  </si>
  <si>
    <t>limes</t>
  </si>
  <si>
    <t>mint proxy</t>
  </si>
  <si>
    <t>COC004</t>
  </si>
  <si>
    <t>Mojito (cocktail)</t>
  </si>
  <si>
    <t>mint</t>
  </si>
  <si>
    <t>RECIPE COSTING SUMMARY  —  batch cost → cost/serving → food-cost % → margin (target food cost ≤ 35%)</t>
  </si>
  <si>
    <t>Cost/serving = Batch Cost / Servings. Food Cost % = Cost/serving ÷ Selling Price. Industry target 28-35%. Status flags any recipe whose cost would exceed the menu price or breach target.</t>
  </si>
  <si>
    <t>Category</t>
  </si>
  <si>
    <t>Recipe Source</t>
  </si>
  <si>
    <t>Servings/Yield</t>
  </si>
  <si>
    <t>Batch Cost (KSh)</t>
  </si>
  <si>
    <t>Cost / Serving (KSh)</t>
  </si>
  <si>
    <t>Selling Price (KSh)</t>
  </si>
  <si>
    <t>Food Cost %</t>
  </si>
  <si>
    <t>Gross Profit (KSh)</t>
  </si>
  <si>
    <t>Gross Margin %</t>
  </si>
  <si>
    <t>Status</t>
  </si>
  <si>
    <t>Main Dishes</t>
  </si>
  <si>
    <t>Manual #1</t>
  </si>
  <si>
    <t>Manual #2</t>
  </si>
  <si>
    <t>Manual #3</t>
  </si>
  <si>
    <t>Manual #4</t>
  </si>
  <si>
    <t>Manual #5 (not on price list)</t>
  </si>
  <si>
    <t>Manual: Grilled Tilapia</t>
  </si>
  <si>
    <t>Urban Special</t>
  </si>
  <si>
    <t>Manual: Crispy Pan-Fried Fillets</t>
  </si>
  <si>
    <t>Manual: Tilapia Wet Fry</t>
  </si>
  <si>
    <t>Manual: Swahili Coconut Fish</t>
  </si>
  <si>
    <t>Manual: Homemade Fish Fingers</t>
  </si>
  <si>
    <t>Sandwich</t>
  </si>
  <si>
    <t>Manual: Beef Sandwich</t>
  </si>
  <si>
    <t>Manual: Chicken Sandwich</t>
  </si>
  <si>
    <t>Manual: Egg Sandwich</t>
  </si>
  <si>
    <t>Pizza</t>
  </si>
  <si>
    <t>Manual: Margherita combo</t>
  </si>
  <si>
    <t>Manual: BBQ chicken combo</t>
  </si>
  <si>
    <t>Manual: Hawaiian standard combo (12in)</t>
  </si>
  <si>
    <t>Manual: Meat Lovers combo (~200g meat)</t>
  </si>
  <si>
    <t>Constructed (manual lists pepperoni as topping)</t>
  </si>
  <si>
    <t>Constructed (no manual recipe — placeholder BOM)</t>
  </si>
  <si>
    <t>Snacks</t>
  </si>
  <si>
    <t>Manual: makes 25-30; yield 28 pcs = 14 pairs</t>
  </si>
  <si>
    <t>Manual: makes 15-20; yield 18 skewers</t>
  </si>
  <si>
    <t>Burger</t>
  </si>
  <si>
    <t>Manual: Classic Beef Burger (makes 4)</t>
  </si>
  <si>
    <t>Manual: Chicken Burger (makes 2)</t>
  </si>
  <si>
    <t>Coffees</t>
  </si>
  <si>
    <t>Constructed beverage BOM</t>
  </si>
  <si>
    <t>Constructed — double = 2 shots</t>
  </si>
  <si>
    <t>Teas</t>
  </si>
  <si>
    <t>Juices</t>
  </si>
  <si>
    <t>Milkshakes</t>
  </si>
  <si>
    <t>Freakyshakes</t>
  </si>
  <si>
    <t>Constructed — premium loaded shake</t>
  </si>
  <si>
    <t>Lemonade</t>
  </si>
  <si>
    <t>Mocktails</t>
  </si>
  <si>
    <t>Cocktails</t>
  </si>
  <si>
    <t>Constructed — MIXERS ONLY; add spirit 1-2 tots (~150-380, see NonRecipe_Goods) for true FC%</t>
  </si>
  <si>
    <t>MENU ITEM CLASSIFICATION  —  every catalogue item: recipe-required vs no-recipe good/service</t>
  </si>
  <si>
    <t>Drawn from the POS price list. 'Type' tells the system how to treat each item: Retail/Packaged/Portioned goods &amp; Services need NO recipe; Recipe(BOM) items consume ingredients; Accompaniments carry a BOM but sell bundled (price 0); Modifiers adjust a parent item. 'Recipe Source' shows manual-backed vs constructed.</t>
  </si>
  <si>
    <t>Code</t>
  </si>
  <si>
    <t>Item</t>
  </si>
  <si>
    <t>Unit</t>
  </si>
  <si>
    <t>Price (KSh)</t>
  </si>
  <si>
    <t>Type</t>
  </si>
  <si>
    <t>Note</t>
  </si>
  <si>
    <t>CON001</t>
  </si>
  <si>
    <t>Co-working Space per Hour</t>
  </si>
  <si>
    <t>Conference</t>
  </si>
  <si>
    <t>hour</t>
  </si>
  <si>
    <t>Service</t>
  </si>
  <si>
    <t>No recipe</t>
  </si>
  <si>
    <t>Space/time — no inventory</t>
  </si>
  <si>
    <t>CON002</t>
  </si>
  <si>
    <t>Co-working Space Half Day</t>
  </si>
  <si>
    <t>day</t>
  </si>
  <si>
    <t>Space/time</t>
  </si>
  <si>
    <t>CON003</t>
  </si>
  <si>
    <t>Co-working Space Full Day</t>
  </si>
  <si>
    <t>CON004</t>
  </si>
  <si>
    <t>Conference Half Day [4-6 pax]</t>
  </si>
  <si>
    <t>CON005</t>
  </si>
  <si>
    <t>Conference Full Day [4-6 pax]</t>
  </si>
  <si>
    <t>CON007</t>
  </si>
  <si>
    <t>Conference per Hour [4-6 pax]</t>
  </si>
  <si>
    <t>CON008</t>
  </si>
  <si>
    <t>Conference per Hour [6-15 pax]</t>
  </si>
  <si>
    <t>CON009</t>
  </si>
  <si>
    <t>Conference Half Day [6-15 pax]</t>
  </si>
  <si>
    <t>CON010</t>
  </si>
  <si>
    <t>Conference Full Day [6-15 pax]</t>
  </si>
  <si>
    <t>CON011</t>
  </si>
  <si>
    <t>Conference per Hour [15-25 pax]</t>
  </si>
  <si>
    <t>CON012</t>
  </si>
  <si>
    <t>Conference Half Day [15-25 pax]</t>
  </si>
  <si>
    <t>CON013</t>
  </si>
  <si>
    <t>Conference Full Day [15-25 pax]</t>
  </si>
  <si>
    <t>INSC001</t>
  </si>
  <si>
    <t>Plate Inscription</t>
  </si>
  <si>
    <t>Add-on</t>
  </si>
  <si>
    <t>full</t>
  </si>
  <si>
    <t>Modifier</t>
  </si>
  <si>
    <t>Minor consumable</t>
  </si>
  <si>
    <t>Edible ink/chocolate — negligible BOM</t>
  </si>
  <si>
    <t>COC009</t>
  </si>
  <si>
    <t>Cockage/Corkage Fee</t>
  </si>
  <si>
    <t>Pure service charge</t>
  </si>
  <si>
    <t>MUG001</t>
  </si>
  <si>
    <t>Urban Mug</t>
  </si>
  <si>
    <t>Merchandise</t>
  </si>
  <si>
    <t>Retail good</t>
  </si>
  <si>
    <t>Resale — buy ~700</t>
  </si>
  <si>
    <t>SOD001</t>
  </si>
  <si>
    <t>Soda 300ml</t>
  </si>
  <si>
    <t>Soft Drink</t>
  </si>
  <si>
    <t>btl</t>
  </si>
  <si>
    <t>Resale</t>
  </si>
  <si>
    <t>SOD002</t>
  </si>
  <si>
    <t>Plastic Soda 500ml</t>
  </si>
  <si>
    <t>SPA001</t>
  </si>
  <si>
    <t>Sparkling Water 750ml</t>
  </si>
  <si>
    <t>SPA002</t>
  </si>
  <si>
    <t>Sparkling Water 500ml</t>
  </si>
  <si>
    <t>WAT001</t>
  </si>
  <si>
    <t>Urban Mist 500ml</t>
  </si>
  <si>
    <t>Own-brand water</t>
  </si>
  <si>
    <t>WAT002</t>
  </si>
  <si>
    <t>Urban Mist 1Ltr</t>
  </si>
  <si>
    <t>4TH001</t>
  </si>
  <si>
    <t>4th Street Red Dry 750ml</t>
  </si>
  <si>
    <t>Wine</t>
  </si>
  <si>
    <t>4TH002</t>
  </si>
  <si>
    <t>4th Street Dry White 750ml</t>
  </si>
  <si>
    <t>BLU002</t>
  </si>
  <si>
    <t>Blue Curacao 750ml</t>
  </si>
  <si>
    <t>FOUR001</t>
  </si>
  <si>
    <t>Four Cousins Sweet Red 750ml</t>
  </si>
  <si>
    <t>DRST001</t>
  </si>
  <si>
    <t>Drosthof Dry White 750ml</t>
  </si>
  <si>
    <t>4THD</t>
  </si>
  <si>
    <t>4th Street Sweet White (glass)</t>
  </si>
  <si>
    <t>Wine Glass</t>
  </si>
  <si>
    <t>gls</t>
  </si>
  <si>
    <t>Portioned good</t>
  </si>
  <si>
    <t>Pour recipe</t>
  </si>
  <si>
    <t>Bottle ÷ ~5 glasses</t>
  </si>
  <si>
    <t>CEL003</t>
  </si>
  <si>
    <t>Glass of Wine</t>
  </si>
  <si>
    <t>DROS001</t>
  </si>
  <si>
    <t>Drosthof Sweet White (glass)</t>
  </si>
  <si>
    <t>Premium pour</t>
  </si>
  <si>
    <t>BAC001</t>
  </si>
  <si>
    <t>Bacardi Tot</t>
  </si>
  <si>
    <t>Tots</t>
  </si>
  <si>
    <t>tot</t>
  </si>
  <si>
    <t>Bottle ÷ ~16-25 tots</t>
  </si>
  <si>
    <t>BLA001</t>
  </si>
  <si>
    <t>JW Black Label Tot</t>
  </si>
  <si>
    <t>Bottle ÷ tots</t>
  </si>
  <si>
    <t>GILBY001</t>
  </si>
  <si>
    <t>Gilbeys Tot</t>
  </si>
  <si>
    <t>GLE001</t>
  </si>
  <si>
    <t>Glenfiddich Tot</t>
  </si>
  <si>
    <t>JAG001</t>
  </si>
  <si>
    <t>Jagermeister Tot</t>
  </si>
  <si>
    <t>MAR001</t>
  </si>
  <si>
    <t>Martel Tot</t>
  </si>
  <si>
    <t>RED001</t>
  </si>
  <si>
    <t>JW Red Label Tot</t>
  </si>
  <si>
    <t>SIN001</t>
  </si>
  <si>
    <t>Singleton Tot</t>
  </si>
  <si>
    <t>SMIR001</t>
  </si>
  <si>
    <t>Smirnoff Vodka Tot</t>
  </si>
  <si>
    <t>TEQ001</t>
  </si>
  <si>
    <t>Tequila Tot</t>
  </si>
  <si>
    <t>HNY001</t>
  </si>
  <si>
    <t>Urban Loft Honey 1kg</t>
  </si>
  <si>
    <t>Special</t>
  </si>
  <si>
    <t>tin</t>
  </si>
  <si>
    <t>Packaged good</t>
  </si>
  <si>
    <t>Own product</t>
  </si>
  <si>
    <t>HNY002</t>
  </si>
  <si>
    <t>Urban Loft Honey 0.5kg</t>
  </si>
  <si>
    <t>HNY003</t>
  </si>
  <si>
    <t>Urban Loft Honey 0.3kg</t>
  </si>
  <si>
    <t>FEST001</t>
  </si>
  <si>
    <t>Festive Hamper</t>
  </si>
  <si>
    <t>pkt</t>
  </si>
  <si>
    <t>Bundle</t>
  </si>
  <si>
    <t>Assembled bundle</t>
  </si>
  <si>
    <t>CHA001</t>
  </si>
  <si>
    <t>Chapati 2s [ACC]</t>
  </si>
  <si>
    <t>Accompaniment</t>
  </si>
  <si>
    <t>pair</t>
  </si>
  <si>
    <t>Accompaniment (BOM, bundled)</t>
  </si>
  <si>
    <t>Sub-recipe</t>
  </si>
  <si>
    <t>Free with mains</t>
  </si>
  <si>
    <t>CHIP</t>
  </si>
  <si>
    <t>Chips [ACC]</t>
  </si>
  <si>
    <t>ptn</t>
  </si>
  <si>
    <t>KAC001</t>
  </si>
  <si>
    <t>Kachumbari [ACC]</t>
  </si>
  <si>
    <t>RIC001</t>
  </si>
  <si>
    <t>Rice [ACC]</t>
  </si>
  <si>
    <t>UGAL</t>
  </si>
  <si>
    <t>Ugali White [ACC]</t>
  </si>
  <si>
    <t>UGALB</t>
  </si>
  <si>
    <t>Ugali Brown [ACC]</t>
  </si>
  <si>
    <t>BRE001</t>
  </si>
  <si>
    <t>Urban Set Me Up</t>
  </si>
  <si>
    <t>Breakfast</t>
  </si>
  <si>
    <t>Recipe (BOM)</t>
  </si>
  <si>
    <t>Constructed</t>
  </si>
  <si>
    <t>Not in manual</t>
  </si>
  <si>
    <t>BRE002</t>
  </si>
  <si>
    <t>Full English Breakfast</t>
  </si>
  <si>
    <t>BRE003</t>
  </si>
  <si>
    <t>Urban Oats Meat Bliss</t>
  </si>
  <si>
    <t>BRE004</t>
  </si>
  <si>
    <t>Urban Healthy Option</t>
  </si>
  <si>
    <t>Steak Wet Fry</t>
  </si>
  <si>
    <t>Costed</t>
  </si>
  <si>
    <t>Steak Dry Fry</t>
  </si>
  <si>
    <t>BEE004</t>
  </si>
  <si>
    <t>Beef Pilau</t>
  </si>
  <si>
    <t>Rice dish - not in manual</t>
  </si>
  <si>
    <t>BEE005</t>
  </si>
  <si>
    <t>Beef Biryani</t>
  </si>
  <si>
    <t>Beef Grilled</t>
  </si>
  <si>
    <t>Beef Grilled/Plantain</t>
  </si>
  <si>
    <t>BEE008</t>
  </si>
  <si>
    <t>Beef Chapati</t>
  </si>
  <si>
    <t>CHI001</t>
  </si>
  <si>
    <t>Chicken Kienyeji</t>
  </si>
  <si>
    <t>qtr</t>
  </si>
  <si>
    <t>CHI003</t>
  </si>
  <si>
    <t>Chicken Kienyeji Grilled</t>
  </si>
  <si>
    <t>CHI006</t>
  </si>
  <si>
    <t>Chicken Pilau</t>
  </si>
  <si>
    <t>CHI009</t>
  </si>
  <si>
    <t>Chicken Curry</t>
  </si>
  <si>
    <t>Whole Tilapia Fish</t>
  </si>
  <si>
    <t>Manual: Wet Fry</t>
  </si>
  <si>
    <t>Manual</t>
  </si>
  <si>
    <t>FIS005</t>
  </si>
  <si>
    <t>Whole Tilapia Grilled</t>
  </si>
  <si>
    <t>Manual: Grilled</t>
  </si>
  <si>
    <t>Costed via fillet</t>
  </si>
  <si>
    <t>Grilled Fish Fillet</t>
  </si>
  <si>
    <t>PLA001</t>
  </si>
  <si>
    <t>Weekend Platter</t>
  </si>
  <si>
    <t>Composite platter</t>
  </si>
  <si>
    <t>PLA003</t>
  </si>
  <si>
    <t>House of Plenty Platter</t>
  </si>
  <si>
    <t>SKE001</t>
  </si>
  <si>
    <t>Skewers</t>
  </si>
  <si>
    <t>See Kebab</t>
  </si>
  <si>
    <t>Manual: kebab</t>
  </si>
  <si>
    <t>SPI001</t>
  </si>
  <si>
    <t>Spinach</t>
  </si>
  <si>
    <t>Veg side</t>
  </si>
  <si>
    <t>Fish Fingers</t>
  </si>
  <si>
    <t>Fish Fillet</t>
  </si>
  <si>
    <t>Manual: Crispy fried</t>
  </si>
  <si>
    <t>SPE004</t>
  </si>
  <si>
    <t>Honey Glazed Chicken Wings</t>
  </si>
  <si>
    <t>FIN001</t>
  </si>
  <si>
    <t>Fingers Nuggets Combo</t>
  </si>
  <si>
    <t>combo</t>
  </si>
  <si>
    <t>Composite</t>
  </si>
  <si>
    <t>fingers+nuggets+fries</t>
  </si>
  <si>
    <t>Beef Burger Bacon-No Cheese</t>
  </si>
  <si>
    <t>BUR002</t>
  </si>
  <si>
    <t>Bacon Cheese Burger</t>
  </si>
  <si>
    <t>Manual + cheese</t>
  </si>
  <si>
    <t>BUR001 + cheese mod</t>
  </si>
  <si>
    <t>Chicken Cheese Burger</t>
  </si>
  <si>
    <t>BUR005</t>
  </si>
  <si>
    <t>Urban Vege Burger</t>
  </si>
  <si>
    <t>Veg patty</t>
  </si>
  <si>
    <t>BUR006</t>
  </si>
  <si>
    <t>Beef Cheese Burger</t>
  </si>
  <si>
    <t>BUR010</t>
  </si>
  <si>
    <t>Freakyshake Burger</t>
  </si>
  <si>
    <t>Burger + freakyshake</t>
  </si>
  <si>
    <t>PIZ001</t>
  </si>
  <si>
    <t>Margherita Pizza S</t>
  </si>
  <si>
    <t>Recipe (BOM) / Variant</t>
  </si>
  <si>
    <t>Manual (scaled)</t>
  </si>
  <si>
    <t>Size variant of L</t>
  </si>
  <si>
    <t>PIZ002</t>
  </si>
  <si>
    <t>Margherita Pizza M</t>
  </si>
  <si>
    <t>Margherita Pizza L</t>
  </si>
  <si>
    <t>Costed (base)</t>
  </si>
  <si>
    <t>Pepperoni Pizza L</t>
  </si>
  <si>
    <t>Barbecue Polo Pizza L</t>
  </si>
  <si>
    <t>Hawaiian Pizza L</t>
  </si>
  <si>
    <t>Meatlovers Pizza L</t>
  </si>
  <si>
    <t>Urban Nile Pizza L</t>
  </si>
  <si>
    <t>SAL001</t>
  </si>
  <si>
    <t>Garden Salad</t>
  </si>
  <si>
    <t>Salad</t>
  </si>
  <si>
    <t>bowl</t>
  </si>
  <si>
    <t>Veg salad</t>
  </si>
  <si>
    <t>SAL003</t>
  </si>
  <si>
    <t>Chicken Caesar Salad</t>
  </si>
  <si>
    <t>Chicken Sandwich</t>
  </si>
  <si>
    <t>SAN005</t>
  </si>
  <si>
    <t>Extra Cheese</t>
  </si>
  <si>
    <t>-</t>
  </si>
  <si>
    <t>BOM add-on</t>
  </si>
  <si>
    <t>+cheese modifier</t>
  </si>
  <si>
    <t>Samosa Mega 2s</t>
  </si>
  <si>
    <t>Kebab</t>
  </si>
  <si>
    <t>FRI001</t>
  </si>
  <si>
    <t>Fries Plain</t>
  </si>
  <si>
    <t>See Chips</t>
  </si>
  <si>
    <t>Potato fry</t>
  </si>
  <si>
    <t>CHI002</t>
  </si>
  <si>
    <t>Chips Masala</t>
  </si>
  <si>
    <t>Chips + masala</t>
  </si>
  <si>
    <t>SAU001</t>
  </si>
  <si>
    <t>Sausages 2s</t>
  </si>
  <si>
    <t>Simple</t>
  </si>
  <si>
    <t>Pan-fry sausages</t>
  </si>
  <si>
    <t>PAN001</t>
  </si>
  <si>
    <t>Pancakes 3s</t>
  </si>
  <si>
    <t>Flour/egg/milk</t>
  </si>
  <si>
    <t>WED</t>
  </si>
  <si>
    <t>Potato Wedges</t>
  </si>
  <si>
    <t>Potato</t>
  </si>
  <si>
    <t>PAC001</t>
  </si>
  <si>
    <t>Packaging</t>
  </si>
  <si>
    <t>Box/takeaway</t>
  </si>
  <si>
    <t>Latte White Single</t>
  </si>
  <si>
    <t>pot</t>
  </si>
  <si>
    <t>Americano Black Single</t>
  </si>
  <si>
    <t>Americano Black Double</t>
  </si>
  <si>
    <t>Double = 2 shots</t>
  </si>
  <si>
    <t>COF007</t>
  </si>
  <si>
    <t>Extra Flavoured Syrup</t>
  </si>
  <si>
    <t>+syrup modifier</t>
  </si>
  <si>
    <t>Mixed Tea</t>
  </si>
  <si>
    <t>cup</t>
  </si>
  <si>
    <t>TEA:HON</t>
  </si>
  <si>
    <t>Extra Honey</t>
  </si>
  <si>
    <t>+honey modifier</t>
  </si>
  <si>
    <t>MIN001</t>
  </si>
  <si>
    <t>Extra Mint</t>
  </si>
  <si>
    <t>Garnish</t>
  </si>
  <si>
    <t>+mint modifier</t>
  </si>
  <si>
    <t>Passion Juice</t>
  </si>
  <si>
    <t>Urban Shake</t>
  </si>
  <si>
    <t>Classic Lemonade</t>
  </si>
  <si>
    <t>Virgin Mojito</t>
  </si>
  <si>
    <t>SMO003</t>
  </si>
  <si>
    <t>Mango Smoothie</t>
  </si>
  <si>
    <t>Smoothies</t>
  </si>
  <si>
    <t>Fruit+yoghurt</t>
  </si>
  <si>
    <t>Spirit + mixers</t>
  </si>
  <si>
    <t>COC003</t>
  </si>
  <si>
    <t>Margarita</t>
  </si>
  <si>
    <t>COC001</t>
  </si>
  <si>
    <t>Long Island</t>
  </si>
  <si>
    <t>Multi-spirit</t>
  </si>
  <si>
    <t>DES001</t>
  </si>
  <si>
    <t>Urban Banana Split</t>
  </si>
  <si>
    <t>Dessert</t>
  </si>
  <si>
    <t>Ice cream + banana</t>
  </si>
  <si>
    <t>CAKE001</t>
  </si>
  <si>
    <t>Piece of Cake</t>
  </si>
  <si>
    <t>Bakery</t>
  </si>
  <si>
    <t>KID002</t>
  </si>
  <si>
    <t>Kids Beef Burger</t>
  </si>
  <si>
    <t>Kids Corner</t>
  </si>
  <si>
    <t>Smaller burger</t>
  </si>
  <si>
    <t>KID004</t>
  </si>
  <si>
    <t>Ice Cream Scoop</t>
  </si>
  <si>
    <t>Scoop</t>
  </si>
  <si>
    <t>ACCOMPANIMENTS (sub-recipes)  —  bundled free with mains but consume inventory</t>
  </si>
  <si>
    <t>These sell at KSh 0 (bundled), yet each deducts stock. Their average cost feeds the 'Accompaniment (1 of choice)' line used inside main-dish recipes, so a main's true plate cost includes one side.</t>
  </si>
  <si>
    <t>Ingredient</t>
  </si>
  <si>
    <t>Chips / Fries [ACC]</t>
  </si>
  <si>
    <t>200g</t>
  </si>
  <si>
    <t>fry</t>
  </si>
  <si>
    <t xml:space="preserve">  → Chips / Fries [ACC] cost/portion</t>
  </si>
  <si>
    <t>90g dry</t>
  </si>
  <si>
    <t xml:space="preserve">  → Rice [ACC] cost/portion</t>
  </si>
  <si>
    <t>130g</t>
  </si>
  <si>
    <t xml:space="preserve">  → Ugali White [ACC] cost/portion</t>
  </si>
  <si>
    <t>150g</t>
  </si>
  <si>
    <t xml:space="preserve">  → Ugali Brown [ACC] cost/portion</t>
  </si>
  <si>
    <t>2 pc</t>
  </si>
  <si>
    <t xml:space="preserve">  → Chapati 2s [ACC] cost/portion</t>
  </si>
  <si>
    <t xml:space="preserve">  → Kachumbari [ACC] cost/portion</t>
  </si>
  <si>
    <t>AVERAGE accompaniment cost (drives 'Accompaniment (1 of choice)' on Ingredient_Master)</t>
  </si>
  <si>
    <t>MODIFIERS &amp; VARIANTS  —  how size &amp; add-on pricing flows to BOM, stock and final price</t>
  </si>
  <si>
    <t>A. PIZZA SIZE VARIANTS — same recipe scaled by surface area; each size is its own sellable SKU that deducts its own BOM</t>
  </si>
  <si>
    <t>Size</t>
  </si>
  <si>
    <t>Diameter</t>
  </si>
  <si>
    <t>Area factor (vs L)</t>
  </si>
  <si>
    <t>Margherita price</t>
  </si>
  <si>
    <t>Margherita BOM cost</t>
  </si>
  <si>
    <t>FC %</t>
  </si>
  <si>
    <t>Hawaiian price</t>
  </si>
  <si>
    <t>Hawaiian BOM cost</t>
  </si>
  <si>
    <t>Small (S)</t>
  </si>
  <si>
    <t>9"</t>
  </si>
  <si>
    <t>Medium (M)</t>
  </si>
  <si>
    <t>10.5"</t>
  </si>
  <si>
    <t>Large (L)</t>
  </si>
  <si>
    <t>12"</t>
  </si>
  <si>
    <t>Logic: choosing a size = selecting a variant SKU. The POS multiplies the master (Large) recipe quantities by the area factor, so a Small pizza deducts ~56% of each topping's grams from stock and a Medium ~76%. Price is set per size; cost scales with the BOM.</t>
  </si>
  <si>
    <t>B. TOPPING / ADD-ON MODIFIERS — modifier carries its own mini-BOM; upcharge is set so modifier FC% stays on target</t>
  </si>
  <si>
    <t>Applies to</t>
  </si>
  <si>
    <t>EP Unit Cost</t>
  </si>
  <si>
    <t>Modifier Cost</t>
  </si>
  <si>
    <t>Upcharge price</t>
  </si>
  <si>
    <t>Modifier FC %</t>
  </si>
  <si>
    <t>Burger/Pizza/Sandwich</t>
  </si>
  <si>
    <t>Add Bacon</t>
  </si>
  <si>
    <t>Extra Mozzarella</t>
  </si>
  <si>
    <t>Extra Pepperoni</t>
  </si>
  <si>
    <t>Coffee/Shake</t>
  </si>
  <si>
    <t>Tea/Coffee</t>
  </si>
  <si>
    <t>Extra Shot (single→double)</t>
  </si>
  <si>
    <t>Coffee</t>
  </si>
  <si>
    <t>Cakes/plates</t>
  </si>
  <si>
    <t>Takeaway Packaging</t>
  </si>
  <si>
    <t>Any</t>
  </si>
  <si>
    <t>Logic: a modifier = a small recipe attached to a parent item. When selected it (1) adds its mini-BOM to the order so the extra grams are deducted from stock, and (2) adds its upcharge to the line price. The upcharge is set above modifier cost to keep a healthy margin (modifier FC% column). Negative modifiers (e.g. 'no cheese') simply omit the BOM line and can carry a negative price.</t>
  </si>
  <si>
    <t>C. CHEESE-BURGER WORKED EXAMPLE — base patty (BUR001) + 'Extra Cheese' modifier = priced cheese burger (BUR006)</t>
  </si>
  <si>
    <t>Beef Burger base cost/serving (BUR001)</t>
  </si>
  <si>
    <t>+ Extra Cheese modifier cost</t>
  </si>
  <si>
    <t>Beef Cheese Burger plate cost (base + cheese)</t>
  </si>
  <si>
    <t>Beef Cheese Burger price (BUR006)</t>
  </si>
  <si>
    <t>Resulting Food Cost %</t>
  </si>
  <si>
    <t>NO-RECIPE GOODS  —  resale / packaged / portioned items (cost is purchase price, not a recipe)</t>
  </si>
  <si>
    <t>These items need NO recipe in the POS — only a purchase cost and a sell price. Spirits/wine-by-tot are 'portioned goods': the bottle is the stock unit and each tot/glass deducts a fraction. Purchase costs are typical Kenyan trade estimates — adjust to your invoices.</t>
  </si>
  <si>
    <t>Sell Price (KSh)</t>
  </si>
  <si>
    <t>Purchase/Pour Cost (KSh)</t>
  </si>
  <si>
    <t>Margin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</si>
</sst>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000"/>
  </numFmts>
  <fonts count="14">
    <font>
      <sz val="11.0"/>
      <color theme="1"/>
      <name val="Calibri"/>
      <scheme val="minor"/>
    </font>
    <font>
      <b/>
      <sz val="16.0"/>
      <color rgb="FFFFFFFF"/>
      <name val="Arial"/>
    </font>
    <font/>
    <font>
      <sz val="11.0"/>
      <color theme="1"/>
      <name val="Calibri"/>
    </font>
    <font>
      <b/>
      <sz val="11.0"/>
      <color rgb="FF1F3864"/>
      <name val="Arial"/>
    </font>
    <font>
      <sz val="11.0"/>
      <color theme="1"/>
      <name val="Arial"/>
    </font>
    <font>
      <i/>
      <sz val="11.0"/>
      <color rgb="FF555555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sz val="11.0"/>
      <color rgb="FF0000FF"/>
      <name val="Arial"/>
    </font>
    <font>
      <sz val="9.0"/>
      <color rgb="FF666666"/>
      <name val="Arial"/>
    </font>
    <font>
      <sz val="11.0"/>
      <color rgb="FF008000"/>
      <name val="Arial"/>
    </font>
    <font>
      <b/>
      <i/>
      <sz val="11.0"/>
      <color theme="1"/>
      <name val="Arial"/>
    </font>
    <font>
      <b/>
      <sz val="11.0"/>
      <color rgb="FFC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B1F3A"/>
        <bgColor rgb="FF0B1F3A"/>
      </patternFill>
    </fill>
    <fill>
      <patternFill patternType="solid">
        <fgColor rgb="FF1F3864"/>
        <bgColor rgb="FF1F3864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EDE7F6"/>
        <bgColor rgb="FFEDE7F6"/>
      </patternFill>
    </fill>
    <fill>
      <patternFill patternType="solid">
        <fgColor rgb="FF2E5496"/>
        <bgColor rgb="FF2E549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bottom" wrapText="0"/>
    </xf>
    <xf borderId="4" fillId="3" fontId="7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shrinkToFit="0" vertical="bottom" wrapText="0"/>
    </xf>
    <xf borderId="4" fillId="0" fontId="9" numFmtId="3" xfId="0" applyAlignment="1" applyBorder="1" applyFont="1" applyNumberFormat="1">
      <alignment shrinkToFit="0" vertical="bottom" wrapText="0"/>
    </xf>
    <xf borderId="4" fillId="0" fontId="9" numFmtId="4" xfId="0" applyAlignment="1" applyBorder="1" applyFont="1" applyNumberFormat="1">
      <alignment shrinkToFit="0" vertical="bottom" wrapText="0"/>
    </xf>
    <xf borderId="4" fillId="0" fontId="5" numFmtId="4" xfId="0" applyAlignment="1" applyBorder="1" applyFont="1" applyNumberFormat="1">
      <alignment shrinkToFit="0" vertical="bottom" wrapText="0"/>
    </xf>
    <xf borderId="4" fillId="0" fontId="9" numFmtId="0" xfId="0" applyAlignment="1" applyBorder="1" applyFont="1">
      <alignment shrinkToFit="0" vertical="bottom" wrapText="0"/>
    </xf>
    <xf borderId="4" fillId="0" fontId="10" numFmtId="0" xfId="0" applyAlignment="1" applyBorder="1" applyFont="1">
      <alignment shrinkToFit="0" vertical="bottom" wrapText="0"/>
    </xf>
    <xf borderId="4" fillId="4" fontId="5" numFmtId="0" xfId="0" applyAlignment="1" applyBorder="1" applyFill="1" applyFont="1">
      <alignment shrinkToFit="0" vertical="bottom" wrapText="0"/>
    </xf>
    <xf borderId="4" fillId="4" fontId="8" numFmtId="0" xfId="0" applyAlignment="1" applyBorder="1" applyFont="1">
      <alignment shrinkToFit="0" vertical="bottom" wrapText="0"/>
    </xf>
    <xf borderId="4" fillId="4" fontId="9" numFmtId="3" xfId="0" applyAlignment="1" applyBorder="1" applyFont="1" applyNumberFormat="1">
      <alignment shrinkToFit="0" vertical="bottom" wrapText="0"/>
    </xf>
    <xf borderId="4" fillId="4" fontId="9" numFmtId="4" xfId="0" applyAlignment="1" applyBorder="1" applyFont="1" applyNumberFormat="1">
      <alignment shrinkToFit="0" vertical="bottom" wrapText="0"/>
    </xf>
    <xf borderId="4" fillId="4" fontId="5" numFmtId="4" xfId="0" applyAlignment="1" applyBorder="1" applyFont="1" applyNumberFormat="1">
      <alignment shrinkToFit="0" vertical="bottom" wrapText="0"/>
    </xf>
    <xf borderId="4" fillId="4" fontId="9" numFmtId="0" xfId="0" applyAlignment="1" applyBorder="1" applyFont="1">
      <alignment shrinkToFit="0" vertical="bottom" wrapText="0"/>
    </xf>
    <xf borderId="4" fillId="4" fontId="10" numFmtId="0" xfId="0" applyAlignment="1" applyBorder="1" applyFont="1">
      <alignment shrinkToFit="0" vertical="bottom" wrapText="0"/>
    </xf>
    <xf borderId="4" fillId="0" fontId="11" numFmtId="4" xfId="0" applyAlignment="1" applyBorder="1" applyFont="1" applyNumberFormat="1">
      <alignment shrinkToFit="0" vertical="bottom" wrapText="0"/>
    </xf>
    <xf borderId="4" fillId="0" fontId="5" numFmtId="164" xfId="0" applyAlignment="1" applyBorder="1" applyFont="1" applyNumberFormat="1">
      <alignment shrinkToFit="0" vertical="bottom" wrapText="0"/>
    </xf>
    <xf borderId="4" fillId="4" fontId="5" numFmtId="3" xfId="0" applyAlignment="1" applyBorder="1" applyFont="1" applyNumberFormat="1">
      <alignment shrinkToFit="0" vertical="bottom" wrapText="0"/>
    </xf>
    <xf borderId="4" fillId="5" fontId="8" numFmtId="0" xfId="0" applyAlignment="1" applyBorder="1" applyFill="1" applyFont="1">
      <alignment shrinkToFit="0" vertical="bottom" wrapText="0"/>
    </xf>
    <xf borderId="4" fillId="5" fontId="5" numFmtId="0" xfId="0" applyAlignment="1" applyBorder="1" applyFont="1">
      <alignment shrinkToFit="0" vertical="bottom" wrapText="0"/>
    </xf>
    <xf borderId="4" fillId="5" fontId="5" numFmtId="3" xfId="0" applyAlignment="1" applyBorder="1" applyFont="1" applyNumberFormat="1">
      <alignment shrinkToFit="0" vertical="bottom" wrapText="0"/>
    </xf>
    <xf borderId="4" fillId="6" fontId="8" numFmtId="0" xfId="0" applyAlignment="1" applyBorder="1" applyFill="1" applyFont="1">
      <alignment shrinkToFit="0" vertical="bottom" wrapText="0"/>
    </xf>
    <xf borderId="4" fillId="6" fontId="5" numFmtId="0" xfId="0" applyAlignment="1" applyBorder="1" applyFont="1">
      <alignment shrinkToFit="0" vertical="bottom" wrapText="0"/>
    </xf>
    <xf borderId="4" fillId="6" fontId="5" numFmtId="3" xfId="0" applyAlignment="1" applyBorder="1" applyFont="1" applyNumberFormat="1">
      <alignment shrinkToFit="0" vertical="bottom" wrapText="0"/>
    </xf>
    <xf borderId="4" fillId="7" fontId="8" numFmtId="0" xfId="0" applyAlignment="1" applyBorder="1" applyFill="1" applyFont="1">
      <alignment shrinkToFit="0" vertical="bottom" wrapText="0"/>
    </xf>
    <xf borderId="4" fillId="7" fontId="5" numFmtId="0" xfId="0" applyAlignment="1" applyBorder="1" applyFont="1">
      <alignment shrinkToFit="0" vertical="bottom" wrapText="0"/>
    </xf>
    <xf borderId="4" fillId="7" fontId="5" numFmtId="3" xfId="0" applyAlignment="1" applyBorder="1" applyFont="1" applyNumberFormat="1">
      <alignment shrinkToFit="0" vertical="bottom" wrapText="0"/>
    </xf>
    <xf borderId="4" fillId="4" fontId="12" numFmtId="0" xfId="0" applyAlignment="1" applyBorder="1" applyFont="1">
      <alignment shrinkToFit="0" vertical="bottom" wrapText="0"/>
    </xf>
    <xf borderId="4" fillId="4" fontId="3" numFmtId="0" xfId="0" applyAlignment="1" applyBorder="1" applyFont="1">
      <alignment shrinkToFit="0" vertical="bottom" wrapText="0"/>
    </xf>
    <xf borderId="4" fillId="4" fontId="8" numFmtId="4" xfId="0" applyAlignment="1" applyBorder="1" applyFont="1" applyNumberFormat="1">
      <alignment shrinkToFit="0" vertical="bottom" wrapText="0"/>
    </xf>
    <xf borderId="4" fillId="6" fontId="3" numFmtId="0" xfId="0" applyAlignment="1" applyBorder="1" applyFont="1">
      <alignment shrinkToFit="0" vertical="bottom" wrapText="0"/>
    </xf>
    <xf borderId="4" fillId="6" fontId="13" numFmtId="4" xfId="0" applyAlignment="1" applyBorder="1" applyFont="1" applyNumberFormat="1">
      <alignment shrinkToFit="0" vertical="bottom" wrapText="0"/>
    </xf>
    <xf borderId="1" fillId="8" fontId="7" numFmtId="0" xfId="0" applyAlignment="1" applyBorder="1" applyFill="1" applyFont="1">
      <alignment shrinkToFit="0" vertical="bottom" wrapText="0"/>
    </xf>
    <xf borderId="4" fillId="0" fontId="9" numFmtId="165" xfId="0" applyAlignment="1" applyBorder="1" applyFont="1" applyNumberFormat="1">
      <alignment shrinkToFit="0" vertical="bottom" wrapText="0"/>
    </xf>
    <xf borderId="4" fillId="0" fontId="3" numFmtId="0" xfId="0" applyAlignment="1" applyBorder="1" applyFont="1">
      <alignment shrinkToFit="0" vertical="bottom" wrapText="0"/>
    </xf>
    <xf borderId="4" fillId="0" fontId="8" numFmtId="4" xfId="0" applyAlignment="1" applyBorder="1" applyFont="1" applyNumberFormat="1">
      <alignment shrinkToFit="0" vertical="bottom" wrapText="0"/>
    </xf>
    <xf borderId="4" fillId="0" fontId="8" numFmtId="164" xfId="0" applyAlignment="1" applyBorder="1" applyFont="1" applyNumberFormat="1">
      <alignment shrinkToFit="0" vertical="bottom" wrapText="0"/>
    </xf>
    <xf borderId="4" fillId="4" fontId="5" numFmtId="164" xfId="0" applyAlignment="1" applyBorder="1" applyFont="1" applyNumberFormat="1">
      <alignment shrinkToFit="0" vertical="bottom" wrapText="0"/>
    </xf>
    <xf borderId="4" fillId="0" fontId="5" numFmtId="3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43"/>
    <col customWidth="1" min="2" max="2" width="40.0"/>
    <col customWidth="1" min="3" max="4" width="30.0"/>
    <col customWidth="1" min="5" max="26" width="8.71"/>
  </cols>
  <sheetData>
    <row r="1" ht="30.0" customHeight="1">
      <c r="A1" s="1" t="s">
        <v>0</v>
      </c>
      <c r="B1" s="2"/>
      <c r="C1" s="2"/>
      <c r="D1" s="3"/>
    </row>
    <row r="2">
      <c r="A2" s="4"/>
      <c r="B2" s="4"/>
      <c r="C2" s="4"/>
      <c r="D2" s="4"/>
    </row>
    <row r="3" ht="15.0" customHeight="1">
      <c r="A3" s="5"/>
      <c r="B3" s="6"/>
    </row>
    <row r="4" ht="45.75" customHeight="1">
      <c r="A4" s="5" t="s">
        <v>1</v>
      </c>
      <c r="B4" s="6" t="s">
        <v>2</v>
      </c>
    </row>
    <row r="5" ht="15.0" customHeight="1">
      <c r="A5" s="5"/>
      <c r="B5" s="6"/>
    </row>
    <row r="6" ht="15.0" customHeight="1">
      <c r="A6" s="5" t="s">
        <v>3</v>
      </c>
      <c r="B6" s="6"/>
    </row>
    <row r="7" ht="45.75" customHeight="1">
      <c r="A7" s="5" t="s">
        <v>4</v>
      </c>
      <c r="B7" s="6" t="s">
        <v>5</v>
      </c>
    </row>
    <row r="8" ht="45.75" customHeight="1">
      <c r="A8" s="5" t="s">
        <v>6</v>
      </c>
      <c r="B8" s="6" t="s">
        <v>7</v>
      </c>
    </row>
    <row r="9" ht="45.75" customHeight="1">
      <c r="A9" s="5" t="s">
        <v>8</v>
      </c>
      <c r="B9" s="6" t="s">
        <v>9</v>
      </c>
    </row>
    <row r="10" ht="45.75" customHeight="1">
      <c r="A10" s="5" t="s">
        <v>10</v>
      </c>
      <c r="B10" s="6" t="s">
        <v>11</v>
      </c>
    </row>
    <row r="11" ht="45.75" customHeight="1">
      <c r="A11" s="5" t="s">
        <v>12</v>
      </c>
      <c r="B11" s="6" t="s">
        <v>13</v>
      </c>
    </row>
    <row r="12" ht="45.75" customHeight="1">
      <c r="A12" s="5" t="s">
        <v>14</v>
      </c>
      <c r="B12" s="6" t="s">
        <v>15</v>
      </c>
    </row>
    <row r="13" ht="15.0" customHeight="1">
      <c r="A13" s="5"/>
      <c r="B13" s="6"/>
    </row>
    <row r="14" ht="15.0" customHeight="1">
      <c r="A14" s="5" t="s">
        <v>16</v>
      </c>
      <c r="B14" s="6"/>
    </row>
    <row r="15" ht="15.0" customHeight="1">
      <c r="A15" s="5" t="s">
        <v>17</v>
      </c>
      <c r="B15" s="6" t="s">
        <v>18</v>
      </c>
    </row>
    <row r="16" ht="45.75" customHeight="1">
      <c r="A16" s="5" t="s">
        <v>19</v>
      </c>
      <c r="B16" s="6" t="s">
        <v>20</v>
      </c>
    </row>
    <row r="17" ht="15.0" customHeight="1">
      <c r="A17" s="5" t="s">
        <v>21</v>
      </c>
      <c r="B17" s="6" t="s">
        <v>22</v>
      </c>
    </row>
    <row r="18" ht="45.75" customHeight="1">
      <c r="A18" s="5" t="s">
        <v>23</v>
      </c>
      <c r="B18" s="6" t="s">
        <v>24</v>
      </c>
    </row>
    <row r="19" ht="45.75" customHeight="1">
      <c r="A19" s="5" t="s">
        <v>25</v>
      </c>
      <c r="B19" s="6" t="s">
        <v>26</v>
      </c>
    </row>
    <row r="20" ht="45.75" customHeight="1">
      <c r="A20" s="5" t="s">
        <v>27</v>
      </c>
      <c r="B20" s="6" t="s">
        <v>28</v>
      </c>
    </row>
    <row r="21" ht="15.0" customHeight="1">
      <c r="A21" s="5"/>
      <c r="B21" s="6"/>
    </row>
    <row r="22" ht="15.0" customHeight="1">
      <c r="A22" s="5" t="s">
        <v>29</v>
      </c>
      <c r="B22" s="6"/>
    </row>
    <row r="23" ht="45.75" customHeight="1">
      <c r="A23" s="5" t="s">
        <v>30</v>
      </c>
      <c r="B23" s="6" t="s">
        <v>31</v>
      </c>
    </row>
    <row r="24" ht="45.75" customHeight="1">
      <c r="A24" s="5" t="s">
        <v>32</v>
      </c>
      <c r="B24" s="6" t="s">
        <v>33</v>
      </c>
    </row>
    <row r="25" ht="15.0" customHeight="1">
      <c r="A25" s="5"/>
      <c r="B25" s="6"/>
    </row>
    <row r="26" ht="15.0" customHeight="1">
      <c r="A26" s="5" t="s">
        <v>34</v>
      </c>
      <c r="B26" s="6"/>
    </row>
    <row r="27" ht="15.0" customHeight="1">
      <c r="A27" s="5" t="s">
        <v>35</v>
      </c>
      <c r="B27" s="6" t="s">
        <v>36</v>
      </c>
    </row>
    <row r="28" ht="15.0" customHeight="1">
      <c r="A28" s="5" t="s">
        <v>37</v>
      </c>
      <c r="B28" s="6" t="s">
        <v>38</v>
      </c>
    </row>
    <row r="29" ht="15.0" customHeight="1">
      <c r="A29" s="5" t="s">
        <v>39</v>
      </c>
      <c r="B29" s="6" t="s">
        <v>40</v>
      </c>
    </row>
    <row r="30" ht="15.0" customHeight="1">
      <c r="A30" s="5" t="s">
        <v>41</v>
      </c>
      <c r="B30" s="6" t="s">
        <v>42</v>
      </c>
    </row>
    <row r="31" ht="15.0" customHeight="1">
      <c r="A31" s="5" t="s">
        <v>43</v>
      </c>
      <c r="B31" s="6" t="s">
        <v>44</v>
      </c>
    </row>
    <row r="32" ht="15.0" customHeight="1">
      <c r="A32" s="5" t="s">
        <v>45</v>
      </c>
      <c r="B32" s="6" t="s">
        <v>46</v>
      </c>
    </row>
    <row r="33" ht="15.0" customHeight="1">
      <c r="A33" s="5" t="s">
        <v>47</v>
      </c>
      <c r="B33" s="6" t="s">
        <v>48</v>
      </c>
    </row>
    <row r="34" ht="15.0" customHeight="1">
      <c r="A34" s="5"/>
      <c r="B34" s="6"/>
    </row>
    <row r="35" ht="45.75" customHeight="1">
      <c r="A35" s="5" t="s">
        <v>49</v>
      </c>
      <c r="B35" s="6" t="s">
        <v>50</v>
      </c>
    </row>
    <row r="36" ht="15.75" customHeight="1">
      <c r="A36" s="4"/>
      <c r="B36" s="4"/>
      <c r="C36" s="4"/>
      <c r="D36" s="4"/>
    </row>
    <row r="37" ht="15.75" customHeight="1">
      <c r="A37" s="4"/>
      <c r="B37" s="4"/>
      <c r="C37" s="4"/>
      <c r="D37" s="4"/>
    </row>
    <row r="38" ht="15.75" customHeight="1">
      <c r="A38" s="4"/>
      <c r="B38" s="4"/>
      <c r="C38" s="4"/>
      <c r="D38" s="4"/>
    </row>
    <row r="39" ht="15.75" customHeight="1">
      <c r="A39" s="4"/>
      <c r="B39" s="4"/>
      <c r="C39" s="4"/>
      <c r="D39" s="4"/>
    </row>
    <row r="40" ht="15.75" customHeight="1">
      <c r="A40" s="4"/>
      <c r="B40" s="4"/>
      <c r="C40" s="4"/>
      <c r="D40" s="4"/>
    </row>
    <row r="41" ht="15.75" customHeight="1">
      <c r="A41" s="4"/>
      <c r="B41" s="4"/>
      <c r="C41" s="4"/>
      <c r="D41" s="4"/>
    </row>
    <row r="42" ht="15.75" customHeight="1">
      <c r="A42" s="4"/>
      <c r="B42" s="4"/>
      <c r="C42" s="4"/>
      <c r="D42" s="4"/>
    </row>
    <row r="43" ht="15.75" customHeight="1">
      <c r="A43" s="4"/>
      <c r="B43" s="4"/>
      <c r="C43" s="4"/>
      <c r="D43" s="4"/>
    </row>
    <row r="44" ht="15.75" customHeight="1">
      <c r="A44" s="4"/>
      <c r="B44" s="4"/>
      <c r="C44" s="4"/>
      <c r="D44" s="4"/>
    </row>
    <row r="45" ht="15.75" customHeight="1">
      <c r="A45" s="4"/>
      <c r="B45" s="4"/>
      <c r="C45" s="4"/>
      <c r="D45" s="4"/>
    </row>
    <row r="46" ht="15.75" customHeight="1">
      <c r="A46" s="4"/>
      <c r="B46" s="4"/>
      <c r="C46" s="4"/>
      <c r="D46" s="4"/>
    </row>
    <row r="47" ht="15.75" customHeight="1">
      <c r="A47" s="4"/>
      <c r="B47" s="4"/>
      <c r="C47" s="4"/>
      <c r="D47" s="4"/>
    </row>
    <row r="48" ht="15.75" customHeight="1">
      <c r="A48" s="4"/>
      <c r="B48" s="4"/>
      <c r="C48" s="4"/>
      <c r="D48" s="4"/>
    </row>
    <row r="49" ht="15.75" customHeight="1">
      <c r="A49" s="4"/>
      <c r="B49" s="4"/>
      <c r="C49" s="4"/>
      <c r="D49" s="4"/>
    </row>
    <row r="50" ht="15.75" customHeight="1">
      <c r="A50" s="4"/>
      <c r="B50" s="4"/>
      <c r="C50" s="4"/>
      <c r="D50" s="4"/>
    </row>
    <row r="51" ht="15.75" customHeight="1">
      <c r="A51" s="4"/>
      <c r="B51" s="4"/>
      <c r="C51" s="4"/>
      <c r="D51" s="4"/>
    </row>
    <row r="52" ht="15.75" customHeight="1">
      <c r="A52" s="4"/>
      <c r="B52" s="4"/>
      <c r="C52" s="4"/>
      <c r="D52" s="4"/>
    </row>
    <row r="53" ht="15.75" customHeight="1">
      <c r="A53" s="4"/>
      <c r="B53" s="4"/>
      <c r="C53" s="4"/>
      <c r="D53" s="4"/>
    </row>
    <row r="54" ht="15.75" customHeight="1">
      <c r="A54" s="4"/>
      <c r="B54" s="4"/>
      <c r="C54" s="4"/>
      <c r="D54" s="4"/>
    </row>
    <row r="55" ht="15.75" customHeight="1">
      <c r="A55" s="4"/>
      <c r="B55" s="4"/>
      <c r="C55" s="4"/>
      <c r="D55" s="4"/>
    </row>
    <row r="56" ht="15.75" customHeight="1">
      <c r="A56" s="4"/>
      <c r="B56" s="4"/>
      <c r="C56" s="4"/>
      <c r="D56" s="4"/>
    </row>
    <row r="57" ht="15.75" customHeight="1">
      <c r="A57" s="4"/>
      <c r="B57" s="4"/>
      <c r="C57" s="4"/>
      <c r="D57" s="4"/>
    </row>
    <row r="58" ht="15.75" customHeight="1">
      <c r="A58" s="4"/>
      <c r="B58" s="4"/>
      <c r="C58" s="4"/>
      <c r="D58" s="4"/>
    </row>
    <row r="59" ht="15.75" customHeight="1">
      <c r="A59" s="4"/>
      <c r="B59" s="4"/>
      <c r="C59" s="4"/>
      <c r="D59" s="4"/>
    </row>
    <row r="60" ht="15.75" customHeight="1">
      <c r="A60" s="4"/>
      <c r="B60" s="4"/>
      <c r="C60" s="4"/>
      <c r="D60" s="4"/>
    </row>
    <row r="61" ht="15.75" customHeight="1">
      <c r="A61" s="4"/>
      <c r="B61" s="4"/>
      <c r="C61" s="4"/>
      <c r="D61" s="4"/>
    </row>
    <row r="62" ht="15.75" customHeight="1">
      <c r="A62" s="4"/>
      <c r="B62" s="4"/>
      <c r="C62" s="4"/>
      <c r="D62" s="4"/>
    </row>
    <row r="63" ht="15.75" customHeight="1">
      <c r="A63" s="4"/>
      <c r="B63" s="4"/>
      <c r="C63" s="4"/>
      <c r="D63" s="4"/>
    </row>
    <row r="64" ht="15.75" customHeight="1">
      <c r="A64" s="4"/>
      <c r="B64" s="4"/>
      <c r="C64" s="4"/>
      <c r="D64" s="4"/>
    </row>
    <row r="65" ht="15.75" customHeight="1">
      <c r="A65" s="4"/>
      <c r="B65" s="4"/>
      <c r="C65" s="4"/>
      <c r="D65" s="4"/>
    </row>
    <row r="66" ht="15.75" customHeight="1">
      <c r="A66" s="4"/>
      <c r="B66" s="4"/>
      <c r="C66" s="4"/>
      <c r="D66" s="4"/>
    </row>
    <row r="67" ht="15.75" customHeight="1">
      <c r="A67" s="4"/>
      <c r="B67" s="4"/>
      <c r="C67" s="4"/>
      <c r="D67" s="4"/>
    </row>
    <row r="68" ht="15.75" customHeight="1">
      <c r="A68" s="4"/>
      <c r="B68" s="4"/>
      <c r="C68" s="4"/>
      <c r="D68" s="4"/>
    </row>
    <row r="69" ht="15.75" customHeight="1">
      <c r="A69" s="4"/>
      <c r="B69" s="4"/>
      <c r="C69" s="4"/>
      <c r="D69" s="4"/>
    </row>
    <row r="70" ht="15.75" customHeight="1">
      <c r="A70" s="4"/>
      <c r="B70" s="4"/>
      <c r="C70" s="4"/>
      <c r="D70" s="4"/>
    </row>
    <row r="71" ht="15.75" customHeight="1">
      <c r="A71" s="4"/>
      <c r="B71" s="4"/>
      <c r="C71" s="4"/>
      <c r="D71" s="4"/>
    </row>
    <row r="72" ht="15.75" customHeight="1">
      <c r="A72" s="4"/>
      <c r="B72" s="4"/>
      <c r="C72" s="4"/>
      <c r="D72" s="4"/>
    </row>
    <row r="73" ht="15.75" customHeight="1">
      <c r="A73" s="4"/>
      <c r="B73" s="4"/>
      <c r="C73" s="4"/>
      <c r="D73" s="4"/>
    </row>
    <row r="74" ht="15.75" customHeight="1">
      <c r="A74" s="4"/>
      <c r="B74" s="4"/>
      <c r="C74" s="4"/>
      <c r="D74" s="4"/>
    </row>
    <row r="75" ht="15.75" customHeight="1">
      <c r="A75" s="4"/>
      <c r="B75" s="4"/>
      <c r="C75" s="4"/>
      <c r="D75" s="4"/>
    </row>
    <row r="76" ht="15.75" customHeight="1">
      <c r="A76" s="4"/>
      <c r="B76" s="4"/>
      <c r="C76" s="4"/>
      <c r="D76" s="4"/>
    </row>
    <row r="77" ht="15.75" customHeight="1">
      <c r="A77" s="4"/>
      <c r="B77" s="4"/>
      <c r="C77" s="4"/>
      <c r="D77" s="4"/>
    </row>
    <row r="78" ht="15.75" customHeight="1">
      <c r="A78" s="4"/>
      <c r="B78" s="4"/>
      <c r="C78" s="4"/>
      <c r="D78" s="4"/>
    </row>
    <row r="79" ht="15.75" customHeight="1">
      <c r="A79" s="4"/>
      <c r="B79" s="4"/>
      <c r="C79" s="4"/>
      <c r="D79" s="4"/>
    </row>
    <row r="80" ht="15.75" customHeight="1">
      <c r="A80" s="4"/>
      <c r="B80" s="4"/>
      <c r="C80" s="4"/>
      <c r="D80" s="4"/>
    </row>
    <row r="81" ht="15.75" customHeight="1">
      <c r="A81" s="4"/>
      <c r="B81" s="4"/>
      <c r="C81" s="4"/>
      <c r="D81" s="4"/>
    </row>
    <row r="82" ht="15.75" customHeight="1">
      <c r="A82" s="4"/>
      <c r="B82" s="4"/>
      <c r="C82" s="4"/>
      <c r="D82" s="4"/>
    </row>
    <row r="83" ht="15.75" customHeight="1">
      <c r="A83" s="4"/>
      <c r="B83" s="4"/>
      <c r="C83" s="4"/>
      <c r="D83" s="4"/>
    </row>
    <row r="84" ht="15.75" customHeight="1">
      <c r="A84" s="4"/>
      <c r="B84" s="4"/>
      <c r="C84" s="4"/>
      <c r="D84" s="4"/>
    </row>
    <row r="85" ht="15.75" customHeight="1">
      <c r="A85" s="4"/>
      <c r="B85" s="4"/>
      <c r="C85" s="4"/>
      <c r="D85" s="4"/>
    </row>
    <row r="86" ht="15.75" customHeight="1">
      <c r="A86" s="4"/>
      <c r="B86" s="4"/>
      <c r="C86" s="4"/>
      <c r="D86" s="4"/>
    </row>
    <row r="87" ht="15.75" customHeight="1">
      <c r="A87" s="4"/>
      <c r="B87" s="4"/>
      <c r="C87" s="4"/>
      <c r="D87" s="4"/>
    </row>
    <row r="88" ht="15.75" customHeight="1">
      <c r="A88" s="4"/>
      <c r="B88" s="4"/>
      <c r="C88" s="4"/>
      <c r="D88" s="4"/>
    </row>
    <row r="89" ht="15.75" customHeight="1">
      <c r="A89" s="4"/>
      <c r="B89" s="4"/>
      <c r="C89" s="4"/>
      <c r="D89" s="4"/>
    </row>
    <row r="90" ht="15.75" customHeight="1">
      <c r="A90" s="4"/>
      <c r="B90" s="4"/>
      <c r="C90" s="4"/>
      <c r="D90" s="4"/>
    </row>
    <row r="91" ht="15.75" customHeight="1">
      <c r="A91" s="4"/>
      <c r="B91" s="4"/>
      <c r="C91" s="4"/>
      <c r="D91" s="4"/>
    </row>
    <row r="92" ht="15.75" customHeight="1">
      <c r="A92" s="4"/>
      <c r="B92" s="4"/>
      <c r="C92" s="4"/>
      <c r="D92" s="4"/>
    </row>
    <row r="93" ht="15.75" customHeight="1">
      <c r="A93" s="4"/>
      <c r="B93" s="4"/>
      <c r="C93" s="4"/>
      <c r="D93" s="4"/>
    </row>
    <row r="94" ht="15.75" customHeight="1">
      <c r="A94" s="4"/>
      <c r="B94" s="4"/>
      <c r="C94" s="4"/>
      <c r="D94" s="4"/>
    </row>
    <row r="95" ht="15.75" customHeight="1">
      <c r="A95" s="4"/>
      <c r="B95" s="4"/>
      <c r="C95" s="4"/>
      <c r="D95" s="4"/>
    </row>
    <row r="96" ht="15.75" customHeight="1">
      <c r="A96" s="4"/>
      <c r="B96" s="4"/>
      <c r="C96" s="4"/>
      <c r="D96" s="4"/>
    </row>
    <row r="97" ht="15.75" customHeight="1">
      <c r="A97" s="4"/>
      <c r="B97" s="4"/>
      <c r="C97" s="4"/>
      <c r="D97" s="4"/>
    </row>
    <row r="98" ht="15.75" customHeight="1">
      <c r="A98" s="4"/>
      <c r="B98" s="4"/>
      <c r="C98" s="4"/>
      <c r="D98" s="4"/>
    </row>
    <row r="99" ht="15.75" customHeight="1">
      <c r="A99" s="4"/>
      <c r="B99" s="4"/>
      <c r="C99" s="4"/>
      <c r="D99" s="4"/>
    </row>
    <row r="100" ht="15.75" customHeight="1">
      <c r="A100" s="4"/>
      <c r="B100" s="4"/>
      <c r="C100" s="4"/>
      <c r="D100" s="4"/>
    </row>
    <row r="101" ht="15.75" customHeight="1">
      <c r="A101" s="4"/>
      <c r="B101" s="4"/>
      <c r="C101" s="4"/>
      <c r="D101" s="4"/>
    </row>
    <row r="102" ht="15.75" customHeight="1">
      <c r="A102" s="4"/>
      <c r="B102" s="4"/>
      <c r="C102" s="4"/>
      <c r="D102" s="4"/>
    </row>
    <row r="103" ht="15.75" customHeight="1">
      <c r="A103" s="4"/>
      <c r="B103" s="4"/>
      <c r="C103" s="4"/>
      <c r="D103" s="4"/>
    </row>
    <row r="104" ht="15.75" customHeight="1">
      <c r="A104" s="4"/>
      <c r="B104" s="4"/>
      <c r="C104" s="4"/>
      <c r="D104" s="4"/>
    </row>
    <row r="105" ht="15.75" customHeight="1">
      <c r="A105" s="4"/>
      <c r="B105" s="4"/>
      <c r="C105" s="4"/>
      <c r="D105" s="4"/>
    </row>
    <row r="106" ht="15.75" customHeight="1">
      <c r="A106" s="4"/>
      <c r="B106" s="4"/>
      <c r="C106" s="4"/>
      <c r="D106" s="4"/>
    </row>
    <row r="107" ht="15.75" customHeight="1">
      <c r="A107" s="4"/>
      <c r="B107" s="4"/>
      <c r="C107" s="4"/>
      <c r="D107" s="4"/>
    </row>
    <row r="108" ht="15.75" customHeight="1">
      <c r="A108" s="4"/>
      <c r="B108" s="4"/>
      <c r="C108" s="4"/>
      <c r="D108" s="4"/>
    </row>
    <row r="109" ht="15.75" customHeight="1">
      <c r="A109" s="4"/>
      <c r="B109" s="4"/>
      <c r="C109" s="4"/>
      <c r="D109" s="4"/>
    </row>
    <row r="110" ht="15.75" customHeight="1">
      <c r="A110" s="4"/>
      <c r="B110" s="4"/>
      <c r="C110" s="4"/>
      <c r="D110" s="4"/>
    </row>
    <row r="111" ht="15.75" customHeight="1">
      <c r="A111" s="4"/>
      <c r="B111" s="4"/>
      <c r="C111" s="4"/>
      <c r="D111" s="4"/>
    </row>
    <row r="112" ht="15.75" customHeight="1">
      <c r="A112" s="4"/>
      <c r="B112" s="4"/>
      <c r="C112" s="4"/>
      <c r="D112" s="4"/>
    </row>
    <row r="113" ht="15.75" customHeight="1">
      <c r="A113" s="4"/>
      <c r="B113" s="4"/>
      <c r="C113" s="4"/>
      <c r="D113" s="4"/>
    </row>
    <row r="114" ht="15.75" customHeight="1">
      <c r="A114" s="4"/>
      <c r="B114" s="4"/>
      <c r="C114" s="4"/>
      <c r="D114" s="4"/>
    </row>
    <row r="115" ht="15.75" customHeight="1">
      <c r="A115" s="4"/>
      <c r="B115" s="4"/>
      <c r="C115" s="4"/>
      <c r="D115" s="4"/>
    </row>
    <row r="116" ht="15.75" customHeight="1">
      <c r="A116" s="4"/>
      <c r="B116" s="4"/>
      <c r="C116" s="4"/>
      <c r="D116" s="4"/>
    </row>
    <row r="117" ht="15.75" customHeight="1">
      <c r="A117" s="4"/>
      <c r="B117" s="4"/>
      <c r="C117" s="4"/>
      <c r="D117" s="4"/>
    </row>
    <row r="118" ht="15.75" customHeight="1">
      <c r="A118" s="4"/>
      <c r="B118" s="4"/>
      <c r="C118" s="4"/>
      <c r="D118" s="4"/>
    </row>
    <row r="119" ht="15.75" customHeight="1">
      <c r="A119" s="4"/>
      <c r="B119" s="4"/>
      <c r="C119" s="4"/>
      <c r="D119" s="4"/>
    </row>
    <row r="120" ht="15.75" customHeight="1">
      <c r="A120" s="4"/>
      <c r="B120" s="4"/>
      <c r="C120" s="4"/>
      <c r="D120" s="4"/>
    </row>
    <row r="121" ht="15.75" customHeight="1">
      <c r="A121" s="4"/>
      <c r="B121" s="4"/>
      <c r="C121" s="4"/>
      <c r="D121" s="4"/>
    </row>
    <row r="122" ht="15.75" customHeight="1">
      <c r="A122" s="4"/>
      <c r="B122" s="4"/>
      <c r="C122" s="4"/>
      <c r="D122" s="4"/>
    </row>
    <row r="123" ht="15.75" customHeight="1">
      <c r="A123" s="4"/>
      <c r="B123" s="4"/>
      <c r="C123" s="4"/>
      <c r="D123" s="4"/>
    </row>
    <row r="124" ht="15.75" customHeight="1">
      <c r="A124" s="4"/>
      <c r="B124" s="4"/>
      <c r="C124" s="4"/>
      <c r="D124" s="4"/>
    </row>
    <row r="125" ht="15.75" customHeight="1">
      <c r="A125" s="4"/>
      <c r="B125" s="4"/>
      <c r="C125" s="4"/>
      <c r="D125" s="4"/>
    </row>
    <row r="126" ht="15.75" customHeight="1">
      <c r="A126" s="4"/>
      <c r="B126" s="4"/>
      <c r="C126" s="4"/>
      <c r="D126" s="4"/>
    </row>
    <row r="127" ht="15.75" customHeight="1">
      <c r="A127" s="4"/>
      <c r="B127" s="4"/>
      <c r="C127" s="4"/>
      <c r="D127" s="4"/>
    </row>
    <row r="128" ht="15.75" customHeight="1">
      <c r="A128" s="4"/>
      <c r="B128" s="4"/>
      <c r="C128" s="4"/>
      <c r="D128" s="4"/>
    </row>
    <row r="129" ht="15.75" customHeight="1">
      <c r="A129" s="4"/>
      <c r="B129" s="4"/>
      <c r="C129" s="4"/>
      <c r="D129" s="4"/>
    </row>
    <row r="130" ht="15.75" customHeight="1">
      <c r="A130" s="4"/>
      <c r="B130" s="4"/>
      <c r="C130" s="4"/>
      <c r="D130" s="4"/>
    </row>
    <row r="131" ht="15.75" customHeight="1">
      <c r="A131" s="4"/>
      <c r="B131" s="4"/>
      <c r="C131" s="4"/>
      <c r="D131" s="4"/>
    </row>
    <row r="132" ht="15.75" customHeight="1">
      <c r="A132" s="4"/>
      <c r="B132" s="4"/>
      <c r="C132" s="4"/>
      <c r="D132" s="4"/>
    </row>
    <row r="133" ht="15.75" customHeight="1">
      <c r="A133" s="4"/>
      <c r="B133" s="4"/>
      <c r="C133" s="4"/>
      <c r="D133" s="4"/>
    </row>
    <row r="134" ht="15.75" customHeight="1">
      <c r="A134" s="4"/>
      <c r="B134" s="4"/>
      <c r="C134" s="4"/>
      <c r="D134" s="4"/>
    </row>
    <row r="135" ht="15.75" customHeight="1">
      <c r="A135" s="4"/>
      <c r="B135" s="4"/>
      <c r="C135" s="4"/>
      <c r="D135" s="4"/>
    </row>
    <row r="136" ht="15.75" customHeight="1">
      <c r="A136" s="4"/>
      <c r="B136" s="4"/>
      <c r="C136" s="4"/>
      <c r="D136" s="4"/>
    </row>
    <row r="137" ht="15.75" customHeight="1">
      <c r="A137" s="4"/>
      <c r="B137" s="4"/>
      <c r="C137" s="4"/>
      <c r="D137" s="4"/>
    </row>
    <row r="138" ht="15.75" customHeight="1">
      <c r="A138" s="4"/>
      <c r="B138" s="4"/>
      <c r="C138" s="4"/>
      <c r="D138" s="4"/>
    </row>
    <row r="139" ht="15.75" customHeight="1">
      <c r="A139" s="4"/>
      <c r="B139" s="4"/>
      <c r="C139" s="4"/>
      <c r="D139" s="4"/>
    </row>
    <row r="140" ht="15.75" customHeight="1">
      <c r="A140" s="4"/>
      <c r="B140" s="4"/>
      <c r="C140" s="4"/>
      <c r="D140" s="4"/>
    </row>
    <row r="141" ht="15.75" customHeight="1">
      <c r="A141" s="4"/>
      <c r="B141" s="4"/>
      <c r="C141" s="4"/>
      <c r="D141" s="4"/>
    </row>
    <row r="142" ht="15.75" customHeight="1">
      <c r="A142" s="4"/>
      <c r="B142" s="4"/>
      <c r="C142" s="4"/>
      <c r="D142" s="4"/>
    </row>
    <row r="143" ht="15.75" customHeight="1">
      <c r="A143" s="4"/>
      <c r="B143" s="4"/>
      <c r="C143" s="4"/>
      <c r="D143" s="4"/>
    </row>
    <row r="144" ht="15.75" customHeight="1">
      <c r="A144" s="4"/>
      <c r="B144" s="4"/>
      <c r="C144" s="4"/>
      <c r="D144" s="4"/>
    </row>
    <row r="145" ht="15.75" customHeight="1">
      <c r="A145" s="4"/>
      <c r="B145" s="4"/>
      <c r="C145" s="4"/>
      <c r="D145" s="4"/>
    </row>
    <row r="146" ht="15.75" customHeight="1">
      <c r="A146" s="4"/>
      <c r="B146" s="4"/>
      <c r="C146" s="4"/>
      <c r="D146" s="4"/>
    </row>
    <row r="147" ht="15.75" customHeight="1">
      <c r="A147" s="4"/>
      <c r="B147" s="4"/>
      <c r="C147" s="4"/>
      <c r="D147" s="4"/>
    </row>
    <row r="148" ht="15.75" customHeight="1">
      <c r="A148" s="4"/>
      <c r="B148" s="4"/>
      <c r="C148" s="4"/>
      <c r="D148" s="4"/>
    </row>
    <row r="149" ht="15.75" customHeight="1">
      <c r="A149" s="4"/>
      <c r="B149" s="4"/>
      <c r="C149" s="4"/>
      <c r="D149" s="4"/>
    </row>
    <row r="150" ht="15.75" customHeight="1">
      <c r="A150" s="4"/>
      <c r="B150" s="4"/>
      <c r="C150" s="4"/>
      <c r="D150" s="4"/>
    </row>
    <row r="151" ht="15.75" customHeight="1">
      <c r="A151" s="4"/>
      <c r="B151" s="4"/>
      <c r="C151" s="4"/>
      <c r="D151" s="4"/>
    </row>
    <row r="152" ht="15.75" customHeight="1">
      <c r="A152" s="4"/>
      <c r="B152" s="4"/>
      <c r="C152" s="4"/>
      <c r="D152" s="4"/>
    </row>
    <row r="153" ht="15.75" customHeight="1">
      <c r="A153" s="4"/>
      <c r="B153" s="4"/>
      <c r="C153" s="4"/>
      <c r="D153" s="4"/>
    </row>
    <row r="154" ht="15.75" customHeight="1">
      <c r="A154" s="4"/>
      <c r="B154" s="4"/>
      <c r="C154" s="4"/>
      <c r="D154" s="4"/>
    </row>
    <row r="155" ht="15.75" customHeight="1">
      <c r="A155" s="4"/>
      <c r="B155" s="4"/>
      <c r="C155" s="4"/>
      <c r="D155" s="4"/>
    </row>
    <row r="156" ht="15.75" customHeight="1">
      <c r="A156" s="4"/>
      <c r="B156" s="4"/>
      <c r="C156" s="4"/>
      <c r="D156" s="4"/>
    </row>
    <row r="157" ht="15.75" customHeight="1">
      <c r="A157" s="4"/>
      <c r="B157" s="4"/>
      <c r="C157" s="4"/>
      <c r="D157" s="4"/>
    </row>
    <row r="158" ht="15.75" customHeight="1">
      <c r="A158" s="4"/>
      <c r="B158" s="4"/>
      <c r="C158" s="4"/>
      <c r="D158" s="4"/>
    </row>
    <row r="159" ht="15.75" customHeight="1">
      <c r="A159" s="4"/>
      <c r="B159" s="4"/>
      <c r="C159" s="4"/>
      <c r="D159" s="4"/>
    </row>
    <row r="160" ht="15.75" customHeight="1">
      <c r="A160" s="4"/>
      <c r="B160" s="4"/>
      <c r="C160" s="4"/>
      <c r="D160" s="4"/>
    </row>
    <row r="161" ht="15.75" customHeight="1">
      <c r="A161" s="4"/>
      <c r="B161" s="4"/>
      <c r="C161" s="4"/>
      <c r="D161" s="4"/>
    </row>
    <row r="162" ht="15.75" customHeight="1">
      <c r="A162" s="4"/>
      <c r="B162" s="4"/>
      <c r="C162" s="4"/>
      <c r="D162" s="4"/>
    </row>
    <row r="163" ht="15.75" customHeight="1">
      <c r="A163" s="4"/>
      <c r="B163" s="4"/>
      <c r="C163" s="4"/>
      <c r="D163" s="4"/>
    </row>
    <row r="164" ht="15.75" customHeight="1">
      <c r="A164" s="4"/>
      <c r="B164" s="4"/>
      <c r="C164" s="4"/>
      <c r="D164" s="4"/>
    </row>
    <row r="165" ht="15.75" customHeight="1">
      <c r="A165" s="4"/>
      <c r="B165" s="4"/>
      <c r="C165" s="4"/>
      <c r="D165" s="4"/>
    </row>
    <row r="166" ht="15.75" customHeight="1">
      <c r="A166" s="4"/>
      <c r="B166" s="4"/>
      <c r="C166" s="4"/>
      <c r="D166" s="4"/>
    </row>
    <row r="167" ht="15.75" customHeight="1">
      <c r="A167" s="4"/>
      <c r="B167" s="4"/>
      <c r="C167" s="4"/>
      <c r="D167" s="4"/>
    </row>
    <row r="168" ht="15.75" customHeight="1">
      <c r="A168" s="4"/>
      <c r="B168" s="4"/>
      <c r="C168" s="4"/>
      <c r="D168" s="4"/>
    </row>
    <row r="169" ht="15.75" customHeight="1">
      <c r="A169" s="4"/>
      <c r="B169" s="4"/>
      <c r="C169" s="4"/>
      <c r="D169" s="4"/>
    </row>
    <row r="170" ht="15.75" customHeight="1">
      <c r="A170" s="4"/>
      <c r="B170" s="4"/>
      <c r="C170" s="4"/>
      <c r="D170" s="4"/>
    </row>
    <row r="171" ht="15.75" customHeight="1">
      <c r="A171" s="4"/>
      <c r="B171" s="4"/>
      <c r="C171" s="4"/>
      <c r="D171" s="4"/>
    </row>
    <row r="172" ht="15.75" customHeight="1">
      <c r="A172" s="4"/>
      <c r="B172" s="4"/>
      <c r="C172" s="4"/>
      <c r="D172" s="4"/>
    </row>
    <row r="173" ht="15.75" customHeight="1">
      <c r="A173" s="4"/>
      <c r="B173" s="4"/>
      <c r="C173" s="4"/>
      <c r="D173" s="4"/>
    </row>
    <row r="174" ht="15.75" customHeight="1">
      <c r="A174" s="4"/>
      <c r="B174" s="4"/>
      <c r="C174" s="4"/>
      <c r="D174" s="4"/>
    </row>
    <row r="175" ht="15.75" customHeight="1">
      <c r="A175" s="4"/>
      <c r="B175" s="4"/>
      <c r="C175" s="4"/>
      <c r="D175" s="4"/>
    </row>
    <row r="176" ht="15.75" customHeight="1">
      <c r="A176" s="4"/>
      <c r="B176" s="4"/>
      <c r="C176" s="4"/>
      <c r="D176" s="4"/>
    </row>
    <row r="177" ht="15.75" customHeight="1">
      <c r="A177" s="4"/>
      <c r="B177" s="4"/>
      <c r="C177" s="4"/>
      <c r="D177" s="4"/>
    </row>
    <row r="178" ht="15.75" customHeight="1">
      <c r="A178" s="4"/>
      <c r="B178" s="4"/>
      <c r="C178" s="4"/>
      <c r="D178" s="4"/>
    </row>
    <row r="179" ht="15.75" customHeight="1">
      <c r="A179" s="4"/>
      <c r="B179" s="4"/>
      <c r="C179" s="4"/>
      <c r="D179" s="4"/>
    </row>
    <row r="180" ht="15.75" customHeight="1">
      <c r="A180" s="4"/>
      <c r="B180" s="4"/>
      <c r="C180" s="4"/>
      <c r="D180" s="4"/>
    </row>
    <row r="181" ht="15.75" customHeight="1">
      <c r="A181" s="4"/>
      <c r="B181" s="4"/>
      <c r="C181" s="4"/>
      <c r="D181" s="4"/>
    </row>
    <row r="182" ht="15.75" customHeight="1">
      <c r="A182" s="4"/>
      <c r="B182" s="4"/>
      <c r="C182" s="4"/>
      <c r="D182" s="4"/>
    </row>
    <row r="183" ht="15.75" customHeight="1">
      <c r="A183" s="4"/>
      <c r="B183" s="4"/>
      <c r="C183" s="4"/>
      <c r="D183" s="4"/>
    </row>
    <row r="184" ht="15.75" customHeight="1">
      <c r="A184" s="4"/>
      <c r="B184" s="4"/>
      <c r="C184" s="4"/>
      <c r="D184" s="4"/>
    </row>
    <row r="185" ht="15.75" customHeight="1">
      <c r="A185" s="4"/>
      <c r="B185" s="4"/>
      <c r="C185" s="4"/>
      <c r="D185" s="4"/>
    </row>
    <row r="186" ht="15.75" customHeight="1">
      <c r="A186" s="4"/>
      <c r="B186" s="4"/>
      <c r="C186" s="4"/>
      <c r="D186" s="4"/>
    </row>
    <row r="187" ht="15.75" customHeight="1">
      <c r="A187" s="4"/>
      <c r="B187" s="4"/>
      <c r="C187" s="4"/>
      <c r="D187" s="4"/>
    </row>
    <row r="188" ht="15.75" customHeight="1">
      <c r="A188" s="4"/>
      <c r="B188" s="4"/>
      <c r="C188" s="4"/>
      <c r="D188" s="4"/>
    </row>
    <row r="189" ht="15.75" customHeight="1">
      <c r="A189" s="4"/>
      <c r="B189" s="4"/>
      <c r="C189" s="4"/>
      <c r="D189" s="4"/>
    </row>
    <row r="190" ht="15.75" customHeight="1">
      <c r="A190" s="4"/>
      <c r="B190" s="4"/>
      <c r="C190" s="4"/>
      <c r="D190" s="4"/>
    </row>
    <row r="191" ht="15.75" customHeight="1">
      <c r="A191" s="4"/>
      <c r="B191" s="4"/>
      <c r="C191" s="4"/>
      <c r="D191" s="4"/>
    </row>
    <row r="192" ht="15.75" customHeight="1">
      <c r="A192" s="4"/>
      <c r="B192" s="4"/>
      <c r="C192" s="4"/>
      <c r="D192" s="4"/>
    </row>
    <row r="193" ht="15.75" customHeight="1">
      <c r="A193" s="4"/>
      <c r="B193" s="4"/>
      <c r="C193" s="4"/>
      <c r="D193" s="4"/>
    </row>
    <row r="194" ht="15.75" customHeight="1">
      <c r="A194" s="4"/>
      <c r="B194" s="4"/>
      <c r="C194" s="4"/>
      <c r="D194" s="4"/>
    </row>
    <row r="195" ht="15.75" customHeight="1">
      <c r="A195" s="4"/>
      <c r="B195" s="4"/>
      <c r="C195" s="4"/>
      <c r="D195" s="4"/>
    </row>
    <row r="196" ht="15.75" customHeight="1">
      <c r="A196" s="4"/>
      <c r="B196" s="4"/>
      <c r="C196" s="4"/>
      <c r="D196" s="4"/>
    </row>
    <row r="197" ht="15.75" customHeight="1">
      <c r="A197" s="4"/>
      <c r="B197" s="4"/>
      <c r="C197" s="4"/>
      <c r="D197" s="4"/>
    </row>
    <row r="198" ht="15.75" customHeight="1">
      <c r="A198" s="4"/>
      <c r="B198" s="4"/>
      <c r="C198" s="4"/>
      <c r="D198" s="4"/>
    </row>
    <row r="199" ht="15.75" customHeight="1">
      <c r="A199" s="4"/>
      <c r="B199" s="4"/>
      <c r="C199" s="4"/>
      <c r="D199" s="4"/>
    </row>
    <row r="200" ht="15.75" customHeight="1">
      <c r="A200" s="4"/>
      <c r="B200" s="4"/>
      <c r="C200" s="4"/>
      <c r="D200" s="4"/>
    </row>
    <row r="201" ht="15.75" customHeight="1">
      <c r="A201" s="4"/>
      <c r="B201" s="4"/>
      <c r="C201" s="4"/>
      <c r="D201" s="4"/>
    </row>
    <row r="202" ht="15.75" customHeight="1">
      <c r="A202" s="4"/>
      <c r="B202" s="4"/>
      <c r="C202" s="4"/>
      <c r="D202" s="4"/>
    </row>
    <row r="203" ht="15.75" customHeight="1">
      <c r="A203" s="4"/>
      <c r="B203" s="4"/>
      <c r="C203" s="4"/>
      <c r="D203" s="4"/>
    </row>
    <row r="204" ht="15.75" customHeight="1">
      <c r="A204" s="4"/>
      <c r="B204" s="4"/>
      <c r="C204" s="4"/>
      <c r="D204" s="4"/>
    </row>
    <row r="205" ht="15.75" customHeight="1">
      <c r="A205" s="4"/>
      <c r="B205" s="4"/>
      <c r="C205" s="4"/>
      <c r="D205" s="4"/>
    </row>
    <row r="206" ht="15.75" customHeight="1">
      <c r="A206" s="4"/>
      <c r="B206" s="4"/>
      <c r="C206" s="4"/>
      <c r="D206" s="4"/>
    </row>
    <row r="207" ht="15.75" customHeight="1">
      <c r="A207" s="4"/>
      <c r="B207" s="4"/>
      <c r="C207" s="4"/>
      <c r="D207" s="4"/>
    </row>
    <row r="208" ht="15.75" customHeight="1">
      <c r="A208" s="4"/>
      <c r="B208" s="4"/>
      <c r="C208" s="4"/>
      <c r="D208" s="4"/>
    </row>
    <row r="209" ht="15.75" customHeight="1">
      <c r="A209" s="4"/>
      <c r="B209" s="4"/>
      <c r="C209" s="4"/>
      <c r="D209" s="4"/>
    </row>
    <row r="210" ht="15.75" customHeight="1">
      <c r="A210" s="4"/>
      <c r="B210" s="4"/>
      <c r="C210" s="4"/>
      <c r="D210" s="4"/>
    </row>
    <row r="211" ht="15.75" customHeight="1">
      <c r="A211" s="4"/>
      <c r="B211" s="4"/>
      <c r="C211" s="4"/>
      <c r="D211" s="4"/>
    </row>
    <row r="212" ht="15.75" customHeight="1">
      <c r="A212" s="4"/>
      <c r="B212" s="4"/>
      <c r="C212" s="4"/>
      <c r="D212" s="4"/>
    </row>
    <row r="213" ht="15.75" customHeight="1">
      <c r="A213" s="4"/>
      <c r="B213" s="4"/>
      <c r="C213" s="4"/>
      <c r="D213" s="4"/>
    </row>
    <row r="214" ht="15.75" customHeight="1">
      <c r="A214" s="4"/>
      <c r="B214" s="4"/>
      <c r="C214" s="4"/>
      <c r="D214" s="4"/>
    </row>
    <row r="215" ht="15.75" customHeight="1">
      <c r="A215" s="4"/>
      <c r="B215" s="4"/>
      <c r="C215" s="4"/>
      <c r="D215" s="4"/>
    </row>
    <row r="216" ht="15.75" customHeight="1">
      <c r="A216" s="4"/>
      <c r="B216" s="4"/>
      <c r="C216" s="4"/>
      <c r="D216" s="4"/>
    </row>
    <row r="217" ht="15.75" customHeight="1">
      <c r="A217" s="4"/>
      <c r="B217" s="4"/>
      <c r="C217" s="4"/>
      <c r="D217" s="4"/>
    </row>
    <row r="218" ht="15.75" customHeight="1">
      <c r="A218" s="4"/>
      <c r="B218" s="4"/>
      <c r="C218" s="4"/>
      <c r="D218" s="4"/>
    </row>
    <row r="219" ht="15.75" customHeight="1">
      <c r="A219" s="4"/>
      <c r="B219" s="4"/>
      <c r="C219" s="4"/>
      <c r="D219" s="4"/>
    </row>
    <row r="220" ht="15.75" customHeight="1">
      <c r="A220" s="4"/>
      <c r="B220" s="4"/>
      <c r="C220" s="4"/>
      <c r="D220" s="4"/>
    </row>
    <row r="221" ht="15.75" customHeight="1">
      <c r="A221" s="4"/>
      <c r="B221" s="4"/>
      <c r="C221" s="4"/>
      <c r="D221" s="4"/>
    </row>
    <row r="222" ht="15.75" customHeight="1">
      <c r="A222" s="4"/>
      <c r="B222" s="4"/>
      <c r="C222" s="4"/>
      <c r="D222" s="4"/>
    </row>
    <row r="223" ht="15.75" customHeight="1">
      <c r="A223" s="4"/>
      <c r="B223" s="4"/>
      <c r="C223" s="4"/>
      <c r="D223" s="4"/>
    </row>
    <row r="224" ht="15.75" customHeight="1">
      <c r="A224" s="4"/>
      <c r="B224" s="4"/>
      <c r="C224" s="4"/>
      <c r="D224" s="4"/>
    </row>
    <row r="225" ht="15.75" customHeight="1">
      <c r="A225" s="4"/>
      <c r="B225" s="4"/>
      <c r="C225" s="4"/>
      <c r="D225" s="4"/>
    </row>
    <row r="226" ht="15.75" customHeight="1">
      <c r="A226" s="4"/>
      <c r="B226" s="4"/>
      <c r="C226" s="4"/>
      <c r="D226" s="4"/>
    </row>
    <row r="227" ht="15.75" customHeight="1">
      <c r="A227" s="4"/>
      <c r="B227" s="4"/>
      <c r="C227" s="4"/>
      <c r="D227" s="4"/>
    </row>
    <row r="228" ht="15.75" customHeight="1">
      <c r="A228" s="4"/>
      <c r="B228" s="4"/>
      <c r="C228" s="4"/>
      <c r="D228" s="4"/>
    </row>
    <row r="229" ht="15.75" customHeight="1">
      <c r="A229" s="4"/>
      <c r="B229" s="4"/>
      <c r="C229" s="4"/>
      <c r="D229" s="4"/>
    </row>
    <row r="230" ht="15.75" customHeight="1">
      <c r="A230" s="4"/>
      <c r="B230" s="4"/>
      <c r="C230" s="4"/>
      <c r="D230" s="4"/>
    </row>
    <row r="231" ht="15.75" customHeight="1">
      <c r="A231" s="4"/>
      <c r="B231" s="4"/>
      <c r="C231" s="4"/>
      <c r="D231" s="4"/>
    </row>
    <row r="232" ht="15.75" customHeight="1">
      <c r="A232" s="4"/>
      <c r="B232" s="4"/>
      <c r="C232" s="4"/>
      <c r="D232" s="4"/>
    </row>
    <row r="233" ht="15.75" customHeight="1">
      <c r="A233" s="4"/>
      <c r="B233" s="4"/>
      <c r="C233" s="4"/>
      <c r="D233" s="4"/>
    </row>
    <row r="234" ht="15.75" customHeight="1">
      <c r="A234" s="4"/>
      <c r="B234" s="4"/>
      <c r="C234" s="4"/>
      <c r="D234" s="4"/>
    </row>
    <row r="235" ht="15.75" customHeight="1">
      <c r="A235" s="4"/>
      <c r="B235" s="4"/>
      <c r="C235" s="4"/>
      <c r="D235" s="4"/>
    </row>
    <row r="236" ht="15.75" customHeight="1">
      <c r="A236" s="4"/>
      <c r="B236" s="4"/>
      <c r="C236" s="4"/>
      <c r="D236" s="4"/>
    </row>
    <row r="237" ht="15.75" customHeight="1">
      <c r="A237" s="4"/>
      <c r="B237" s="4"/>
      <c r="C237" s="4"/>
      <c r="D237" s="4"/>
    </row>
    <row r="238" ht="15.75" customHeight="1">
      <c r="A238" s="4"/>
      <c r="B238" s="4"/>
      <c r="C238" s="4"/>
      <c r="D238" s="4"/>
    </row>
    <row r="239" ht="15.75" customHeight="1">
      <c r="A239" s="4"/>
      <c r="B239" s="4"/>
      <c r="C239" s="4"/>
      <c r="D239" s="4"/>
    </row>
    <row r="240" ht="15.75" customHeight="1">
      <c r="A240" s="4"/>
      <c r="B240" s="4"/>
      <c r="C240" s="4"/>
      <c r="D240" s="4"/>
    </row>
    <row r="241" ht="15.75" customHeight="1">
      <c r="A241" s="4"/>
      <c r="B241" s="4"/>
      <c r="C241" s="4"/>
      <c r="D241" s="4"/>
    </row>
    <row r="242" ht="15.75" customHeight="1">
      <c r="A242" s="4"/>
      <c r="B242" s="4"/>
      <c r="C242" s="4"/>
      <c r="D242" s="4"/>
    </row>
    <row r="243" ht="15.75" customHeight="1">
      <c r="A243" s="4"/>
      <c r="B243" s="4"/>
      <c r="C243" s="4"/>
      <c r="D243" s="4"/>
    </row>
    <row r="244" ht="15.75" customHeight="1">
      <c r="A244" s="4"/>
      <c r="B244" s="4"/>
      <c r="C244" s="4"/>
      <c r="D244" s="4"/>
    </row>
    <row r="245" ht="15.75" customHeight="1">
      <c r="A245" s="4"/>
      <c r="B245" s="4"/>
      <c r="C245" s="4"/>
      <c r="D245" s="4"/>
    </row>
    <row r="246" ht="15.75" customHeight="1">
      <c r="A246" s="4"/>
      <c r="B246" s="4"/>
      <c r="C246" s="4"/>
      <c r="D246" s="4"/>
    </row>
    <row r="247" ht="15.75" customHeight="1">
      <c r="A247" s="4"/>
      <c r="B247" s="4"/>
      <c r="C247" s="4"/>
      <c r="D247" s="4"/>
    </row>
    <row r="248" ht="15.75" customHeight="1">
      <c r="A248" s="4"/>
      <c r="B248" s="4"/>
      <c r="C248" s="4"/>
      <c r="D248" s="4"/>
    </row>
    <row r="249" ht="15.75" customHeight="1">
      <c r="A249" s="4"/>
      <c r="B249" s="4"/>
      <c r="C249" s="4"/>
      <c r="D249" s="4"/>
    </row>
    <row r="250" ht="15.75" customHeight="1">
      <c r="A250" s="4"/>
      <c r="B250" s="4"/>
      <c r="C250" s="4"/>
      <c r="D250" s="4"/>
    </row>
    <row r="251" ht="15.75" customHeight="1">
      <c r="A251" s="4"/>
      <c r="B251" s="4"/>
      <c r="C251" s="4"/>
      <c r="D251" s="4"/>
    </row>
    <row r="252" ht="15.75" customHeight="1">
      <c r="A252" s="4"/>
      <c r="B252" s="4"/>
      <c r="C252" s="4"/>
      <c r="D252" s="4"/>
    </row>
    <row r="253" ht="15.75" customHeight="1">
      <c r="A253" s="4"/>
      <c r="B253" s="4"/>
      <c r="C253" s="4"/>
      <c r="D253" s="4"/>
    </row>
    <row r="254" ht="15.75" customHeight="1">
      <c r="A254" s="4"/>
      <c r="B254" s="4"/>
      <c r="C254" s="4"/>
      <c r="D254" s="4"/>
    </row>
    <row r="255" ht="15.75" customHeight="1">
      <c r="A255" s="4"/>
      <c r="B255" s="4"/>
      <c r="C255" s="4"/>
      <c r="D255" s="4"/>
    </row>
    <row r="256" ht="15.75" customHeight="1">
      <c r="A256" s="4"/>
      <c r="B256" s="4"/>
      <c r="C256" s="4"/>
      <c r="D256" s="4"/>
    </row>
    <row r="257" ht="15.75" customHeight="1">
      <c r="A257" s="4"/>
      <c r="B257" s="4"/>
      <c r="C257" s="4"/>
      <c r="D257" s="4"/>
    </row>
    <row r="258" ht="15.75" customHeight="1">
      <c r="A258" s="4"/>
      <c r="B258" s="4"/>
      <c r="C258" s="4"/>
      <c r="D258" s="4"/>
    </row>
    <row r="259" ht="15.75" customHeight="1">
      <c r="A259" s="4"/>
      <c r="B259" s="4"/>
      <c r="C259" s="4"/>
      <c r="D259" s="4"/>
    </row>
    <row r="260" ht="15.75" customHeight="1">
      <c r="A260" s="4"/>
      <c r="B260" s="4"/>
      <c r="C260" s="4"/>
      <c r="D260" s="4"/>
    </row>
    <row r="261" ht="15.75" customHeight="1">
      <c r="A261" s="4"/>
      <c r="B261" s="4"/>
      <c r="C261" s="4"/>
      <c r="D261" s="4"/>
    </row>
    <row r="262" ht="15.75" customHeight="1">
      <c r="A262" s="4"/>
      <c r="B262" s="4"/>
      <c r="C262" s="4"/>
      <c r="D262" s="4"/>
    </row>
    <row r="263" ht="15.75" customHeight="1">
      <c r="A263" s="4"/>
      <c r="B263" s="4"/>
      <c r="C263" s="4"/>
      <c r="D263" s="4"/>
    </row>
    <row r="264" ht="15.75" customHeight="1">
      <c r="A264" s="4"/>
      <c r="B264" s="4"/>
      <c r="C264" s="4"/>
      <c r="D264" s="4"/>
    </row>
    <row r="265" ht="15.75" customHeight="1">
      <c r="A265" s="4"/>
      <c r="B265" s="4"/>
      <c r="C265" s="4"/>
      <c r="D265" s="4"/>
    </row>
    <row r="266" ht="15.75" customHeight="1">
      <c r="A266" s="4"/>
      <c r="B266" s="4"/>
      <c r="C266" s="4"/>
      <c r="D266" s="4"/>
    </row>
    <row r="267" ht="15.75" customHeight="1">
      <c r="A267" s="4"/>
      <c r="B267" s="4"/>
      <c r="C267" s="4"/>
      <c r="D267" s="4"/>
    </row>
    <row r="268" ht="15.75" customHeight="1">
      <c r="A268" s="4"/>
      <c r="B268" s="4"/>
      <c r="C268" s="4"/>
      <c r="D268" s="4"/>
    </row>
    <row r="269" ht="15.75" customHeight="1">
      <c r="A269" s="4"/>
      <c r="B269" s="4"/>
      <c r="C269" s="4"/>
      <c r="D269" s="4"/>
    </row>
    <row r="270" ht="15.75" customHeight="1">
      <c r="A270" s="4"/>
      <c r="B270" s="4"/>
      <c r="C270" s="4"/>
      <c r="D270" s="4"/>
    </row>
    <row r="271" ht="15.75" customHeight="1">
      <c r="A271" s="4"/>
      <c r="B271" s="4"/>
      <c r="C271" s="4"/>
      <c r="D271" s="4"/>
    </row>
    <row r="272" ht="15.75" customHeight="1">
      <c r="A272" s="4"/>
      <c r="B272" s="4"/>
      <c r="C272" s="4"/>
      <c r="D272" s="4"/>
    </row>
    <row r="273" ht="15.75" customHeight="1">
      <c r="A273" s="4"/>
      <c r="B273" s="4"/>
      <c r="C273" s="4"/>
      <c r="D273" s="4"/>
    </row>
    <row r="274" ht="15.75" customHeight="1">
      <c r="A274" s="4"/>
      <c r="B274" s="4"/>
      <c r="C274" s="4"/>
      <c r="D274" s="4"/>
    </row>
    <row r="275" ht="15.75" customHeight="1">
      <c r="A275" s="4"/>
      <c r="B275" s="4"/>
      <c r="C275" s="4"/>
      <c r="D275" s="4"/>
    </row>
    <row r="276" ht="15.75" customHeight="1">
      <c r="A276" s="4"/>
      <c r="B276" s="4"/>
      <c r="C276" s="4"/>
      <c r="D276" s="4"/>
    </row>
    <row r="277" ht="15.75" customHeight="1">
      <c r="A277" s="4"/>
      <c r="B277" s="4"/>
      <c r="C277" s="4"/>
      <c r="D277" s="4"/>
    </row>
    <row r="278" ht="15.75" customHeight="1">
      <c r="A278" s="4"/>
      <c r="B278" s="4"/>
      <c r="C278" s="4"/>
      <c r="D278" s="4"/>
    </row>
    <row r="279" ht="15.75" customHeight="1">
      <c r="A279" s="4"/>
      <c r="B279" s="4"/>
      <c r="C279" s="4"/>
      <c r="D279" s="4"/>
    </row>
    <row r="280" ht="15.75" customHeight="1">
      <c r="A280" s="4"/>
      <c r="B280" s="4"/>
      <c r="C280" s="4"/>
      <c r="D280" s="4"/>
    </row>
    <row r="281" ht="15.75" customHeight="1">
      <c r="A281" s="4"/>
      <c r="B281" s="4"/>
      <c r="C281" s="4"/>
      <c r="D281" s="4"/>
    </row>
    <row r="282" ht="15.75" customHeight="1">
      <c r="A282" s="4"/>
      <c r="B282" s="4"/>
      <c r="C282" s="4"/>
      <c r="D282" s="4"/>
    </row>
    <row r="283" ht="15.75" customHeight="1">
      <c r="A283" s="4"/>
      <c r="B283" s="4"/>
      <c r="C283" s="4"/>
      <c r="D283" s="4"/>
    </row>
    <row r="284" ht="15.75" customHeight="1">
      <c r="A284" s="4"/>
      <c r="B284" s="4"/>
      <c r="C284" s="4"/>
      <c r="D284" s="4"/>
    </row>
    <row r="285" ht="15.75" customHeight="1">
      <c r="A285" s="4"/>
      <c r="B285" s="4"/>
      <c r="C285" s="4"/>
      <c r="D285" s="4"/>
    </row>
    <row r="286" ht="15.75" customHeight="1">
      <c r="A286" s="4"/>
      <c r="B286" s="4"/>
      <c r="C286" s="4"/>
      <c r="D286" s="4"/>
    </row>
    <row r="287" ht="15.75" customHeight="1">
      <c r="A287" s="4"/>
      <c r="B287" s="4"/>
      <c r="C287" s="4"/>
      <c r="D287" s="4"/>
    </row>
    <row r="288" ht="15.75" customHeight="1">
      <c r="A288" s="4"/>
      <c r="B288" s="4"/>
      <c r="C288" s="4"/>
      <c r="D288" s="4"/>
    </row>
    <row r="289" ht="15.75" customHeight="1">
      <c r="A289" s="4"/>
      <c r="B289" s="4"/>
      <c r="C289" s="4"/>
      <c r="D289" s="4"/>
    </row>
    <row r="290" ht="15.75" customHeight="1">
      <c r="A290" s="4"/>
      <c r="B290" s="4"/>
      <c r="C290" s="4"/>
      <c r="D290" s="4"/>
    </row>
    <row r="291" ht="15.75" customHeight="1">
      <c r="A291" s="4"/>
      <c r="B291" s="4"/>
      <c r="C291" s="4"/>
      <c r="D291" s="4"/>
    </row>
    <row r="292" ht="15.75" customHeight="1">
      <c r="A292" s="4"/>
      <c r="B292" s="4"/>
      <c r="C292" s="4"/>
      <c r="D292" s="4"/>
    </row>
    <row r="293" ht="15.75" customHeight="1">
      <c r="A293" s="4"/>
      <c r="B293" s="4"/>
      <c r="C293" s="4"/>
      <c r="D293" s="4"/>
    </row>
    <row r="294" ht="15.75" customHeight="1">
      <c r="A294" s="4"/>
      <c r="B294" s="4"/>
      <c r="C294" s="4"/>
      <c r="D294" s="4"/>
    </row>
    <row r="295" ht="15.75" customHeight="1">
      <c r="A295" s="4"/>
      <c r="B295" s="4"/>
      <c r="C295" s="4"/>
      <c r="D295" s="4"/>
    </row>
    <row r="296" ht="15.75" customHeight="1">
      <c r="A296" s="4"/>
      <c r="B296" s="4"/>
      <c r="C296" s="4"/>
      <c r="D296" s="4"/>
    </row>
    <row r="297" ht="15.75" customHeight="1">
      <c r="A297" s="4"/>
      <c r="B297" s="4"/>
      <c r="C297" s="4"/>
      <c r="D297" s="4"/>
    </row>
    <row r="298" ht="15.75" customHeight="1">
      <c r="A298" s="4"/>
      <c r="B298" s="4"/>
      <c r="C298" s="4"/>
      <c r="D298" s="4"/>
    </row>
    <row r="299" ht="15.75" customHeight="1">
      <c r="A299" s="4"/>
      <c r="B299" s="4"/>
      <c r="C299" s="4"/>
      <c r="D299" s="4"/>
    </row>
    <row r="300" ht="15.75" customHeight="1">
      <c r="A300" s="4"/>
      <c r="B300" s="4"/>
      <c r="C300" s="4"/>
      <c r="D300" s="4"/>
    </row>
    <row r="301" ht="15.75" customHeight="1">
      <c r="A301" s="4"/>
      <c r="B301" s="4"/>
      <c r="C301" s="4"/>
      <c r="D301" s="4"/>
    </row>
    <row r="302" ht="15.75" customHeight="1">
      <c r="A302" s="4"/>
      <c r="B302" s="4"/>
      <c r="C302" s="4"/>
      <c r="D302" s="4"/>
    </row>
    <row r="303" ht="15.75" customHeight="1">
      <c r="A303" s="4"/>
      <c r="B303" s="4"/>
      <c r="C303" s="4"/>
      <c r="D303" s="4"/>
    </row>
    <row r="304" ht="15.75" customHeight="1">
      <c r="A304" s="4"/>
      <c r="B304" s="4"/>
      <c r="C304" s="4"/>
      <c r="D304" s="4"/>
    </row>
    <row r="305" ht="15.75" customHeight="1">
      <c r="A305" s="4"/>
      <c r="B305" s="4"/>
      <c r="C305" s="4"/>
      <c r="D305" s="4"/>
    </row>
    <row r="306" ht="15.75" customHeight="1">
      <c r="A306" s="4"/>
      <c r="B306" s="4"/>
      <c r="C306" s="4"/>
      <c r="D306" s="4"/>
    </row>
    <row r="307" ht="15.75" customHeight="1">
      <c r="A307" s="4"/>
      <c r="B307" s="4"/>
      <c r="C307" s="4"/>
      <c r="D307" s="4"/>
    </row>
    <row r="308" ht="15.75" customHeight="1">
      <c r="A308" s="4"/>
      <c r="B308" s="4"/>
      <c r="C308" s="4"/>
      <c r="D308" s="4"/>
    </row>
    <row r="309" ht="15.75" customHeight="1">
      <c r="A309" s="4"/>
      <c r="B309" s="4"/>
      <c r="C309" s="4"/>
      <c r="D309" s="4"/>
    </row>
    <row r="310" ht="15.75" customHeight="1">
      <c r="A310" s="4"/>
      <c r="B310" s="4"/>
      <c r="C310" s="4"/>
      <c r="D310" s="4"/>
    </row>
    <row r="311" ht="15.75" customHeight="1">
      <c r="A311" s="4"/>
      <c r="B311" s="4"/>
      <c r="C311" s="4"/>
      <c r="D311" s="4"/>
    </row>
    <row r="312" ht="15.75" customHeight="1">
      <c r="A312" s="4"/>
      <c r="B312" s="4"/>
      <c r="C312" s="4"/>
      <c r="D312" s="4"/>
    </row>
    <row r="313" ht="15.75" customHeight="1">
      <c r="A313" s="4"/>
      <c r="B313" s="4"/>
      <c r="C313" s="4"/>
      <c r="D313" s="4"/>
    </row>
    <row r="314" ht="15.75" customHeight="1">
      <c r="A314" s="4"/>
      <c r="B314" s="4"/>
      <c r="C314" s="4"/>
      <c r="D314" s="4"/>
    </row>
    <row r="315" ht="15.75" customHeight="1">
      <c r="A315" s="4"/>
      <c r="B315" s="4"/>
      <c r="C315" s="4"/>
      <c r="D315" s="4"/>
    </row>
    <row r="316" ht="15.75" customHeight="1">
      <c r="A316" s="4"/>
      <c r="B316" s="4"/>
      <c r="C316" s="4"/>
      <c r="D316" s="4"/>
    </row>
    <row r="317" ht="15.75" customHeight="1">
      <c r="A317" s="4"/>
      <c r="B317" s="4"/>
      <c r="C317" s="4"/>
      <c r="D317" s="4"/>
    </row>
    <row r="318" ht="15.75" customHeight="1">
      <c r="A318" s="4"/>
      <c r="B318" s="4"/>
      <c r="C318" s="4"/>
      <c r="D318" s="4"/>
    </row>
    <row r="319" ht="15.75" customHeight="1">
      <c r="A319" s="4"/>
      <c r="B319" s="4"/>
      <c r="C319" s="4"/>
      <c r="D319" s="4"/>
    </row>
    <row r="320" ht="15.75" customHeight="1">
      <c r="A320" s="4"/>
      <c r="B320" s="4"/>
      <c r="C320" s="4"/>
      <c r="D320" s="4"/>
    </row>
    <row r="321" ht="15.75" customHeight="1">
      <c r="A321" s="4"/>
      <c r="B321" s="4"/>
      <c r="C321" s="4"/>
      <c r="D321" s="4"/>
    </row>
    <row r="322" ht="15.75" customHeight="1">
      <c r="A322" s="4"/>
      <c r="B322" s="4"/>
      <c r="C322" s="4"/>
      <c r="D322" s="4"/>
    </row>
    <row r="323" ht="15.75" customHeight="1">
      <c r="A323" s="4"/>
      <c r="B323" s="4"/>
      <c r="C323" s="4"/>
      <c r="D323" s="4"/>
    </row>
    <row r="324" ht="15.75" customHeight="1">
      <c r="A324" s="4"/>
      <c r="B324" s="4"/>
      <c r="C324" s="4"/>
      <c r="D324" s="4"/>
    </row>
    <row r="325" ht="15.75" customHeight="1">
      <c r="A325" s="4"/>
      <c r="B325" s="4"/>
      <c r="C325" s="4"/>
      <c r="D325" s="4"/>
    </row>
    <row r="326" ht="15.75" customHeight="1">
      <c r="A326" s="4"/>
      <c r="B326" s="4"/>
      <c r="C326" s="4"/>
      <c r="D326" s="4"/>
    </row>
    <row r="327" ht="15.75" customHeight="1">
      <c r="A327" s="4"/>
      <c r="B327" s="4"/>
      <c r="C327" s="4"/>
      <c r="D327" s="4"/>
    </row>
    <row r="328" ht="15.75" customHeight="1">
      <c r="A328" s="4"/>
      <c r="B328" s="4"/>
      <c r="C328" s="4"/>
      <c r="D328" s="4"/>
    </row>
    <row r="329" ht="15.75" customHeight="1">
      <c r="A329" s="4"/>
      <c r="B329" s="4"/>
      <c r="C329" s="4"/>
      <c r="D329" s="4"/>
    </row>
    <row r="330" ht="15.75" customHeight="1">
      <c r="A330" s="4"/>
      <c r="B330" s="4"/>
      <c r="C330" s="4"/>
      <c r="D330" s="4"/>
    </row>
    <row r="331" ht="15.75" customHeight="1">
      <c r="A331" s="4"/>
      <c r="B331" s="4"/>
      <c r="C331" s="4"/>
      <c r="D331" s="4"/>
    </row>
    <row r="332" ht="15.75" customHeight="1">
      <c r="A332" s="4"/>
      <c r="B332" s="4"/>
      <c r="C332" s="4"/>
      <c r="D332" s="4"/>
    </row>
    <row r="333" ht="15.75" customHeight="1">
      <c r="A333" s="4"/>
      <c r="B333" s="4"/>
      <c r="C333" s="4"/>
      <c r="D333" s="4"/>
    </row>
    <row r="334" ht="15.75" customHeight="1">
      <c r="A334" s="4"/>
      <c r="B334" s="4"/>
      <c r="C334" s="4"/>
      <c r="D334" s="4"/>
    </row>
    <row r="335" ht="15.75" customHeight="1">
      <c r="A335" s="4"/>
      <c r="B335" s="4"/>
      <c r="C335" s="4"/>
      <c r="D335" s="4"/>
    </row>
    <row r="336" ht="15.75" customHeight="1">
      <c r="A336" s="4"/>
      <c r="B336" s="4"/>
      <c r="C336" s="4"/>
      <c r="D336" s="4"/>
    </row>
    <row r="337" ht="15.75" customHeight="1">
      <c r="A337" s="4"/>
      <c r="B337" s="4"/>
      <c r="C337" s="4"/>
      <c r="D337" s="4"/>
    </row>
    <row r="338" ht="15.75" customHeight="1">
      <c r="A338" s="4"/>
      <c r="B338" s="4"/>
      <c r="C338" s="4"/>
      <c r="D338" s="4"/>
    </row>
    <row r="339" ht="15.75" customHeight="1">
      <c r="A339" s="4"/>
      <c r="B339" s="4"/>
      <c r="C339" s="4"/>
      <c r="D339" s="4"/>
    </row>
    <row r="340" ht="15.75" customHeight="1">
      <c r="A340" s="4"/>
      <c r="B340" s="4"/>
      <c r="C340" s="4"/>
      <c r="D340" s="4"/>
    </row>
    <row r="341" ht="15.75" customHeight="1">
      <c r="A341" s="4"/>
      <c r="B341" s="4"/>
      <c r="C341" s="4"/>
      <c r="D341" s="4"/>
    </row>
    <row r="342" ht="15.75" customHeight="1">
      <c r="A342" s="4"/>
      <c r="B342" s="4"/>
      <c r="C342" s="4"/>
      <c r="D342" s="4"/>
    </row>
    <row r="343" ht="15.75" customHeight="1">
      <c r="A343" s="4"/>
      <c r="B343" s="4"/>
      <c r="C343" s="4"/>
      <c r="D343" s="4"/>
    </row>
    <row r="344" ht="15.75" customHeight="1">
      <c r="A344" s="4"/>
      <c r="B344" s="4"/>
      <c r="C344" s="4"/>
      <c r="D344" s="4"/>
    </row>
    <row r="345" ht="15.75" customHeight="1">
      <c r="A345" s="4"/>
      <c r="B345" s="4"/>
      <c r="C345" s="4"/>
      <c r="D345" s="4"/>
    </row>
    <row r="346" ht="15.75" customHeight="1">
      <c r="A346" s="4"/>
      <c r="B346" s="4"/>
      <c r="C346" s="4"/>
      <c r="D346" s="4"/>
    </row>
    <row r="347" ht="15.75" customHeight="1">
      <c r="A347" s="4"/>
      <c r="B347" s="4"/>
      <c r="C347" s="4"/>
      <c r="D347" s="4"/>
    </row>
    <row r="348" ht="15.75" customHeight="1">
      <c r="A348" s="4"/>
      <c r="B348" s="4"/>
      <c r="C348" s="4"/>
      <c r="D348" s="4"/>
    </row>
    <row r="349" ht="15.75" customHeight="1">
      <c r="A349" s="4"/>
      <c r="B349" s="4"/>
      <c r="C349" s="4"/>
      <c r="D349" s="4"/>
    </row>
    <row r="350" ht="15.75" customHeight="1">
      <c r="A350" s="4"/>
      <c r="B350" s="4"/>
      <c r="C350" s="4"/>
      <c r="D350" s="4"/>
    </row>
    <row r="351" ht="15.75" customHeight="1">
      <c r="A351" s="4"/>
      <c r="B351" s="4"/>
      <c r="C351" s="4"/>
      <c r="D351" s="4"/>
    </row>
    <row r="352" ht="15.75" customHeight="1">
      <c r="A352" s="4"/>
      <c r="B352" s="4"/>
      <c r="C352" s="4"/>
      <c r="D352" s="4"/>
    </row>
    <row r="353" ht="15.75" customHeight="1">
      <c r="A353" s="4"/>
      <c r="B353" s="4"/>
      <c r="C353" s="4"/>
      <c r="D353" s="4"/>
    </row>
    <row r="354" ht="15.75" customHeight="1">
      <c r="A354" s="4"/>
      <c r="B354" s="4"/>
      <c r="C354" s="4"/>
      <c r="D354" s="4"/>
    </row>
    <row r="355" ht="15.75" customHeight="1">
      <c r="A355" s="4"/>
      <c r="B355" s="4"/>
      <c r="C355" s="4"/>
      <c r="D355" s="4"/>
    </row>
    <row r="356" ht="15.75" customHeight="1">
      <c r="A356" s="4"/>
      <c r="B356" s="4"/>
      <c r="C356" s="4"/>
      <c r="D356" s="4"/>
    </row>
    <row r="357" ht="15.75" customHeight="1">
      <c r="A357" s="4"/>
      <c r="B357" s="4"/>
      <c r="C357" s="4"/>
      <c r="D357" s="4"/>
    </row>
    <row r="358" ht="15.75" customHeight="1">
      <c r="A358" s="4"/>
      <c r="B358" s="4"/>
      <c r="C358" s="4"/>
      <c r="D358" s="4"/>
    </row>
    <row r="359" ht="15.75" customHeight="1">
      <c r="A359" s="4"/>
      <c r="B359" s="4"/>
      <c r="C359" s="4"/>
      <c r="D359" s="4"/>
    </row>
    <row r="360" ht="15.75" customHeight="1">
      <c r="A360" s="4"/>
      <c r="B360" s="4"/>
      <c r="C360" s="4"/>
      <c r="D360" s="4"/>
    </row>
    <row r="361" ht="15.75" customHeight="1">
      <c r="A361" s="4"/>
      <c r="B361" s="4"/>
      <c r="C361" s="4"/>
      <c r="D361" s="4"/>
    </row>
    <row r="362" ht="15.75" customHeight="1">
      <c r="A362" s="4"/>
      <c r="B362" s="4"/>
      <c r="C362" s="4"/>
      <c r="D362" s="4"/>
    </row>
    <row r="363" ht="15.75" customHeight="1">
      <c r="A363" s="4"/>
      <c r="B363" s="4"/>
      <c r="C363" s="4"/>
      <c r="D363" s="4"/>
    </row>
    <row r="364" ht="15.75" customHeight="1">
      <c r="A364" s="4"/>
      <c r="B364" s="4"/>
      <c r="C364" s="4"/>
      <c r="D364" s="4"/>
    </row>
    <row r="365" ht="15.75" customHeight="1">
      <c r="A365" s="4"/>
      <c r="B365" s="4"/>
      <c r="C365" s="4"/>
      <c r="D365" s="4"/>
    </row>
    <row r="366" ht="15.75" customHeight="1">
      <c r="A366" s="4"/>
      <c r="B366" s="4"/>
      <c r="C366" s="4"/>
      <c r="D366" s="4"/>
    </row>
    <row r="367" ht="15.75" customHeight="1">
      <c r="A367" s="4"/>
      <c r="B367" s="4"/>
      <c r="C367" s="4"/>
      <c r="D367" s="4"/>
    </row>
    <row r="368" ht="15.75" customHeight="1">
      <c r="A368" s="4"/>
      <c r="B368" s="4"/>
      <c r="C368" s="4"/>
      <c r="D368" s="4"/>
    </row>
    <row r="369" ht="15.75" customHeight="1">
      <c r="A369" s="4"/>
      <c r="B369" s="4"/>
      <c r="C369" s="4"/>
      <c r="D369" s="4"/>
    </row>
    <row r="370" ht="15.75" customHeight="1">
      <c r="A370" s="4"/>
      <c r="B370" s="4"/>
      <c r="C370" s="4"/>
      <c r="D370" s="4"/>
    </row>
    <row r="371" ht="15.75" customHeight="1">
      <c r="A371" s="4"/>
      <c r="B371" s="4"/>
      <c r="C371" s="4"/>
      <c r="D371" s="4"/>
    </row>
    <row r="372" ht="15.75" customHeight="1">
      <c r="A372" s="4"/>
      <c r="B372" s="4"/>
      <c r="C372" s="4"/>
      <c r="D372" s="4"/>
    </row>
    <row r="373" ht="15.75" customHeight="1">
      <c r="A373" s="4"/>
      <c r="B373" s="4"/>
      <c r="C373" s="4"/>
      <c r="D373" s="4"/>
    </row>
    <row r="374" ht="15.75" customHeight="1">
      <c r="A374" s="4"/>
      <c r="B374" s="4"/>
      <c r="C374" s="4"/>
      <c r="D374" s="4"/>
    </row>
    <row r="375" ht="15.75" customHeight="1">
      <c r="A375" s="4"/>
      <c r="B375" s="4"/>
      <c r="C375" s="4"/>
      <c r="D375" s="4"/>
    </row>
    <row r="376" ht="15.75" customHeight="1">
      <c r="A376" s="4"/>
      <c r="B376" s="4"/>
      <c r="C376" s="4"/>
      <c r="D376" s="4"/>
    </row>
    <row r="377" ht="15.75" customHeight="1">
      <c r="A377" s="4"/>
      <c r="B377" s="4"/>
      <c r="C377" s="4"/>
      <c r="D377" s="4"/>
    </row>
    <row r="378" ht="15.75" customHeight="1">
      <c r="A378" s="4"/>
      <c r="B378" s="4"/>
      <c r="C378" s="4"/>
      <c r="D378" s="4"/>
    </row>
    <row r="379" ht="15.75" customHeight="1">
      <c r="A379" s="4"/>
      <c r="B379" s="4"/>
      <c r="C379" s="4"/>
      <c r="D379" s="4"/>
    </row>
    <row r="380" ht="15.75" customHeight="1">
      <c r="A380" s="4"/>
      <c r="B380" s="4"/>
      <c r="C380" s="4"/>
      <c r="D380" s="4"/>
    </row>
    <row r="381" ht="15.75" customHeight="1">
      <c r="A381" s="4"/>
      <c r="B381" s="4"/>
      <c r="C381" s="4"/>
      <c r="D381" s="4"/>
    </row>
    <row r="382" ht="15.75" customHeight="1">
      <c r="A382" s="4"/>
      <c r="B382" s="4"/>
      <c r="C382" s="4"/>
      <c r="D382" s="4"/>
    </row>
    <row r="383" ht="15.75" customHeight="1">
      <c r="A383" s="4"/>
      <c r="B383" s="4"/>
      <c r="C383" s="4"/>
      <c r="D383" s="4"/>
    </row>
    <row r="384" ht="15.75" customHeight="1">
      <c r="A384" s="4"/>
      <c r="B384" s="4"/>
      <c r="C384" s="4"/>
      <c r="D384" s="4"/>
    </row>
    <row r="385" ht="15.75" customHeight="1">
      <c r="A385" s="4"/>
      <c r="B385" s="4"/>
      <c r="C385" s="4"/>
      <c r="D385" s="4"/>
    </row>
    <row r="386" ht="15.75" customHeight="1">
      <c r="A386" s="4"/>
      <c r="B386" s="4"/>
      <c r="C386" s="4"/>
      <c r="D386" s="4"/>
    </row>
    <row r="387" ht="15.75" customHeight="1">
      <c r="A387" s="4"/>
      <c r="B387" s="4"/>
      <c r="C387" s="4"/>
      <c r="D387" s="4"/>
    </row>
    <row r="388" ht="15.75" customHeight="1">
      <c r="A388" s="4"/>
      <c r="B388" s="4"/>
      <c r="C388" s="4"/>
      <c r="D388" s="4"/>
    </row>
    <row r="389" ht="15.75" customHeight="1">
      <c r="A389" s="4"/>
      <c r="B389" s="4"/>
      <c r="C389" s="4"/>
      <c r="D389" s="4"/>
    </row>
    <row r="390" ht="15.75" customHeight="1">
      <c r="A390" s="4"/>
      <c r="B390" s="4"/>
      <c r="C390" s="4"/>
      <c r="D390" s="4"/>
    </row>
    <row r="391" ht="15.75" customHeight="1">
      <c r="A391" s="4"/>
      <c r="B391" s="4"/>
      <c r="C391" s="4"/>
      <c r="D391" s="4"/>
    </row>
    <row r="392" ht="15.75" customHeight="1">
      <c r="A392" s="4"/>
      <c r="B392" s="4"/>
      <c r="C392" s="4"/>
      <c r="D392" s="4"/>
    </row>
    <row r="393" ht="15.75" customHeight="1">
      <c r="A393" s="4"/>
      <c r="B393" s="4"/>
      <c r="C393" s="4"/>
      <c r="D393" s="4"/>
    </row>
    <row r="394" ht="15.75" customHeight="1">
      <c r="A394" s="4"/>
      <c r="B394" s="4"/>
      <c r="C394" s="4"/>
      <c r="D394" s="4"/>
    </row>
    <row r="395" ht="15.75" customHeight="1">
      <c r="A395" s="4"/>
      <c r="B395" s="4"/>
      <c r="C395" s="4"/>
      <c r="D395" s="4"/>
    </row>
    <row r="396" ht="15.75" customHeight="1">
      <c r="A396" s="4"/>
      <c r="B396" s="4"/>
      <c r="C396" s="4"/>
      <c r="D396" s="4"/>
    </row>
    <row r="397" ht="15.75" customHeight="1">
      <c r="A397" s="4"/>
      <c r="B397" s="4"/>
      <c r="C397" s="4"/>
      <c r="D397" s="4"/>
    </row>
    <row r="398" ht="15.75" customHeight="1">
      <c r="A398" s="4"/>
      <c r="B398" s="4"/>
      <c r="C398" s="4"/>
      <c r="D398" s="4"/>
    </row>
    <row r="399" ht="15.75" customHeight="1">
      <c r="A399" s="4"/>
      <c r="B399" s="4"/>
      <c r="C399" s="4"/>
      <c r="D399" s="4"/>
    </row>
    <row r="400" ht="15.75" customHeight="1">
      <c r="A400" s="4"/>
      <c r="B400" s="4"/>
      <c r="C400" s="4"/>
      <c r="D400" s="4"/>
    </row>
    <row r="401" ht="15.75" customHeight="1">
      <c r="A401" s="4"/>
      <c r="B401" s="4"/>
      <c r="C401" s="4"/>
      <c r="D401" s="4"/>
    </row>
    <row r="402" ht="15.75" customHeight="1">
      <c r="A402" s="4"/>
      <c r="B402" s="4"/>
      <c r="C402" s="4"/>
      <c r="D402" s="4"/>
    </row>
    <row r="403" ht="15.75" customHeight="1">
      <c r="A403" s="4"/>
      <c r="B403" s="4"/>
      <c r="C403" s="4"/>
      <c r="D403" s="4"/>
    </row>
    <row r="404" ht="15.75" customHeight="1">
      <c r="A404" s="4"/>
      <c r="B404" s="4"/>
      <c r="C404" s="4"/>
      <c r="D404" s="4"/>
    </row>
    <row r="405" ht="15.75" customHeight="1">
      <c r="A405" s="4"/>
      <c r="B405" s="4"/>
      <c r="C405" s="4"/>
      <c r="D405" s="4"/>
    </row>
    <row r="406" ht="15.75" customHeight="1">
      <c r="A406" s="4"/>
      <c r="B406" s="4"/>
      <c r="C406" s="4"/>
      <c r="D406" s="4"/>
    </row>
    <row r="407" ht="15.75" customHeight="1">
      <c r="A407" s="4"/>
      <c r="B407" s="4"/>
      <c r="C407" s="4"/>
      <c r="D407" s="4"/>
    </row>
    <row r="408" ht="15.75" customHeight="1">
      <c r="A408" s="4"/>
      <c r="B408" s="4"/>
      <c r="C408" s="4"/>
      <c r="D408" s="4"/>
    </row>
    <row r="409" ht="15.75" customHeight="1">
      <c r="A409" s="4"/>
      <c r="B409" s="4"/>
      <c r="C409" s="4"/>
      <c r="D409" s="4"/>
    </row>
    <row r="410" ht="15.75" customHeight="1">
      <c r="A410" s="4"/>
      <c r="B410" s="4"/>
      <c r="C410" s="4"/>
      <c r="D410" s="4"/>
    </row>
    <row r="411" ht="15.75" customHeight="1">
      <c r="A411" s="4"/>
      <c r="B411" s="4"/>
      <c r="C411" s="4"/>
      <c r="D411" s="4"/>
    </row>
    <row r="412" ht="15.75" customHeight="1">
      <c r="A412" s="4"/>
      <c r="B412" s="4"/>
      <c r="C412" s="4"/>
      <c r="D412" s="4"/>
    </row>
    <row r="413" ht="15.75" customHeight="1">
      <c r="A413" s="4"/>
      <c r="B413" s="4"/>
      <c r="C413" s="4"/>
      <c r="D413" s="4"/>
    </row>
    <row r="414" ht="15.75" customHeight="1">
      <c r="A414" s="4"/>
      <c r="B414" s="4"/>
      <c r="C414" s="4"/>
      <c r="D414" s="4"/>
    </row>
    <row r="415" ht="15.75" customHeight="1">
      <c r="A415" s="4"/>
      <c r="B415" s="4"/>
      <c r="C415" s="4"/>
      <c r="D415" s="4"/>
    </row>
    <row r="416" ht="15.75" customHeight="1">
      <c r="A416" s="4"/>
      <c r="B416" s="4"/>
      <c r="C416" s="4"/>
      <c r="D416" s="4"/>
    </row>
    <row r="417" ht="15.75" customHeight="1">
      <c r="A417" s="4"/>
      <c r="B417" s="4"/>
      <c r="C417" s="4"/>
      <c r="D417" s="4"/>
    </row>
    <row r="418" ht="15.75" customHeight="1">
      <c r="A418" s="4"/>
      <c r="B418" s="4"/>
      <c r="C418" s="4"/>
      <c r="D418" s="4"/>
    </row>
    <row r="419" ht="15.75" customHeight="1">
      <c r="A419" s="4"/>
      <c r="B419" s="4"/>
      <c r="C419" s="4"/>
      <c r="D419" s="4"/>
    </row>
    <row r="420" ht="15.75" customHeight="1">
      <c r="A420" s="4"/>
      <c r="B420" s="4"/>
      <c r="C420" s="4"/>
      <c r="D420" s="4"/>
    </row>
    <row r="421" ht="15.75" customHeight="1">
      <c r="A421" s="4"/>
      <c r="B421" s="4"/>
      <c r="C421" s="4"/>
      <c r="D421" s="4"/>
    </row>
    <row r="422" ht="15.75" customHeight="1">
      <c r="A422" s="4"/>
      <c r="B422" s="4"/>
      <c r="C422" s="4"/>
      <c r="D422" s="4"/>
    </row>
    <row r="423" ht="15.75" customHeight="1">
      <c r="A423" s="4"/>
      <c r="B423" s="4"/>
      <c r="C423" s="4"/>
      <c r="D423" s="4"/>
    </row>
    <row r="424" ht="15.75" customHeight="1">
      <c r="A424" s="4"/>
      <c r="B424" s="4"/>
      <c r="C424" s="4"/>
      <c r="D424" s="4"/>
    </row>
    <row r="425" ht="15.75" customHeight="1">
      <c r="A425" s="4"/>
      <c r="B425" s="4"/>
      <c r="C425" s="4"/>
      <c r="D425" s="4"/>
    </row>
    <row r="426" ht="15.75" customHeight="1">
      <c r="A426" s="4"/>
      <c r="B426" s="4"/>
      <c r="C426" s="4"/>
      <c r="D426" s="4"/>
    </row>
    <row r="427" ht="15.75" customHeight="1">
      <c r="A427" s="4"/>
      <c r="B427" s="4"/>
      <c r="C427" s="4"/>
      <c r="D427" s="4"/>
    </row>
    <row r="428" ht="15.75" customHeight="1">
      <c r="A428" s="4"/>
      <c r="B428" s="4"/>
      <c r="C428" s="4"/>
      <c r="D428" s="4"/>
    </row>
    <row r="429" ht="15.75" customHeight="1">
      <c r="A429" s="4"/>
      <c r="B429" s="4"/>
      <c r="C429" s="4"/>
      <c r="D429" s="4"/>
    </row>
    <row r="430" ht="15.75" customHeight="1">
      <c r="A430" s="4"/>
      <c r="B430" s="4"/>
      <c r="C430" s="4"/>
      <c r="D430" s="4"/>
    </row>
    <row r="431" ht="15.75" customHeight="1">
      <c r="A431" s="4"/>
      <c r="B431" s="4"/>
      <c r="C431" s="4"/>
      <c r="D431" s="4"/>
    </row>
    <row r="432" ht="15.75" customHeight="1">
      <c r="A432" s="4"/>
      <c r="B432" s="4"/>
      <c r="C432" s="4"/>
      <c r="D432" s="4"/>
    </row>
    <row r="433" ht="15.75" customHeight="1">
      <c r="A433" s="4"/>
      <c r="B433" s="4"/>
      <c r="C433" s="4"/>
      <c r="D433" s="4"/>
    </row>
    <row r="434" ht="15.75" customHeight="1">
      <c r="A434" s="4"/>
      <c r="B434" s="4"/>
      <c r="C434" s="4"/>
      <c r="D434" s="4"/>
    </row>
    <row r="435" ht="15.75" customHeight="1">
      <c r="A435" s="4"/>
      <c r="B435" s="4"/>
      <c r="C435" s="4"/>
      <c r="D435" s="4"/>
    </row>
    <row r="436" ht="15.75" customHeight="1">
      <c r="A436" s="4"/>
      <c r="B436" s="4"/>
      <c r="C436" s="4"/>
      <c r="D436" s="4"/>
    </row>
    <row r="437" ht="15.75" customHeight="1">
      <c r="A437" s="4"/>
      <c r="B437" s="4"/>
      <c r="C437" s="4"/>
      <c r="D437" s="4"/>
    </row>
    <row r="438" ht="15.75" customHeight="1">
      <c r="A438" s="4"/>
      <c r="B438" s="4"/>
      <c r="C438" s="4"/>
      <c r="D438" s="4"/>
    </row>
    <row r="439" ht="15.75" customHeight="1">
      <c r="A439" s="4"/>
      <c r="B439" s="4"/>
      <c r="C439" s="4"/>
      <c r="D439" s="4"/>
    </row>
    <row r="440" ht="15.75" customHeight="1">
      <c r="A440" s="4"/>
      <c r="B440" s="4"/>
      <c r="C440" s="4"/>
      <c r="D440" s="4"/>
    </row>
    <row r="441" ht="15.75" customHeight="1">
      <c r="A441" s="4"/>
      <c r="B441" s="4"/>
      <c r="C441" s="4"/>
      <c r="D441" s="4"/>
    </row>
    <row r="442" ht="15.75" customHeight="1">
      <c r="A442" s="4"/>
      <c r="B442" s="4"/>
      <c r="C442" s="4"/>
      <c r="D442" s="4"/>
    </row>
    <row r="443" ht="15.75" customHeight="1">
      <c r="A443" s="4"/>
      <c r="B443" s="4"/>
      <c r="C443" s="4"/>
      <c r="D443" s="4"/>
    </row>
    <row r="444" ht="15.75" customHeight="1">
      <c r="A444" s="4"/>
      <c r="B444" s="4"/>
      <c r="C444" s="4"/>
      <c r="D444" s="4"/>
    </row>
    <row r="445" ht="15.75" customHeight="1">
      <c r="A445" s="4"/>
      <c r="B445" s="4"/>
      <c r="C445" s="4"/>
      <c r="D445" s="4"/>
    </row>
    <row r="446" ht="15.75" customHeight="1">
      <c r="A446" s="4"/>
      <c r="B446" s="4"/>
      <c r="C446" s="4"/>
      <c r="D446" s="4"/>
    </row>
    <row r="447" ht="15.75" customHeight="1">
      <c r="A447" s="4"/>
      <c r="B447" s="4"/>
      <c r="C447" s="4"/>
      <c r="D447" s="4"/>
    </row>
    <row r="448" ht="15.75" customHeight="1">
      <c r="A448" s="4"/>
      <c r="B448" s="4"/>
      <c r="C448" s="4"/>
      <c r="D448" s="4"/>
    </row>
    <row r="449" ht="15.75" customHeight="1">
      <c r="A449" s="4"/>
      <c r="B449" s="4"/>
      <c r="C449" s="4"/>
      <c r="D449" s="4"/>
    </row>
    <row r="450" ht="15.75" customHeight="1">
      <c r="A450" s="4"/>
      <c r="B450" s="4"/>
      <c r="C450" s="4"/>
      <c r="D450" s="4"/>
    </row>
    <row r="451" ht="15.75" customHeight="1">
      <c r="A451" s="4"/>
      <c r="B451" s="4"/>
      <c r="C451" s="4"/>
      <c r="D451" s="4"/>
    </row>
    <row r="452" ht="15.75" customHeight="1">
      <c r="A452" s="4"/>
      <c r="B452" s="4"/>
      <c r="C452" s="4"/>
      <c r="D452" s="4"/>
    </row>
    <row r="453" ht="15.75" customHeight="1">
      <c r="A453" s="4"/>
      <c r="B453" s="4"/>
      <c r="C453" s="4"/>
      <c r="D453" s="4"/>
    </row>
    <row r="454" ht="15.75" customHeight="1">
      <c r="A454" s="4"/>
      <c r="B454" s="4"/>
      <c r="C454" s="4"/>
      <c r="D454" s="4"/>
    </row>
    <row r="455" ht="15.75" customHeight="1">
      <c r="A455" s="4"/>
      <c r="B455" s="4"/>
      <c r="C455" s="4"/>
      <c r="D455" s="4"/>
    </row>
    <row r="456" ht="15.75" customHeight="1">
      <c r="A456" s="4"/>
      <c r="B456" s="4"/>
      <c r="C456" s="4"/>
      <c r="D456" s="4"/>
    </row>
    <row r="457" ht="15.75" customHeight="1">
      <c r="A457" s="4"/>
      <c r="B457" s="4"/>
      <c r="C457" s="4"/>
      <c r="D457" s="4"/>
    </row>
    <row r="458" ht="15.75" customHeight="1">
      <c r="A458" s="4"/>
      <c r="B458" s="4"/>
      <c r="C458" s="4"/>
      <c r="D458" s="4"/>
    </row>
    <row r="459" ht="15.75" customHeight="1">
      <c r="A459" s="4"/>
      <c r="B459" s="4"/>
      <c r="C459" s="4"/>
      <c r="D459" s="4"/>
    </row>
    <row r="460" ht="15.75" customHeight="1">
      <c r="A460" s="4"/>
      <c r="B460" s="4"/>
      <c r="C460" s="4"/>
      <c r="D460" s="4"/>
    </row>
    <row r="461" ht="15.75" customHeight="1">
      <c r="A461" s="4"/>
      <c r="B461" s="4"/>
      <c r="C461" s="4"/>
      <c r="D461" s="4"/>
    </row>
    <row r="462" ht="15.75" customHeight="1">
      <c r="A462" s="4"/>
      <c r="B462" s="4"/>
      <c r="C462" s="4"/>
      <c r="D462" s="4"/>
    </row>
    <row r="463" ht="15.75" customHeight="1">
      <c r="A463" s="4"/>
      <c r="B463" s="4"/>
      <c r="C463" s="4"/>
      <c r="D463" s="4"/>
    </row>
    <row r="464" ht="15.75" customHeight="1">
      <c r="A464" s="4"/>
      <c r="B464" s="4"/>
      <c r="C464" s="4"/>
      <c r="D464" s="4"/>
    </row>
    <row r="465" ht="15.75" customHeight="1">
      <c r="A465" s="4"/>
      <c r="B465" s="4"/>
      <c r="C465" s="4"/>
      <c r="D465" s="4"/>
    </row>
    <row r="466" ht="15.75" customHeight="1">
      <c r="A466" s="4"/>
      <c r="B466" s="4"/>
      <c r="C466" s="4"/>
      <c r="D466" s="4"/>
    </row>
    <row r="467" ht="15.75" customHeight="1">
      <c r="A467" s="4"/>
      <c r="B467" s="4"/>
      <c r="C467" s="4"/>
      <c r="D467" s="4"/>
    </row>
    <row r="468" ht="15.75" customHeight="1">
      <c r="A468" s="4"/>
      <c r="B468" s="4"/>
      <c r="C468" s="4"/>
      <c r="D468" s="4"/>
    </row>
    <row r="469" ht="15.75" customHeight="1">
      <c r="A469" s="4"/>
      <c r="B469" s="4"/>
      <c r="C469" s="4"/>
      <c r="D469" s="4"/>
    </row>
    <row r="470" ht="15.75" customHeight="1">
      <c r="A470" s="4"/>
      <c r="B470" s="4"/>
      <c r="C470" s="4"/>
      <c r="D470" s="4"/>
    </row>
    <row r="471" ht="15.75" customHeight="1">
      <c r="A471" s="4"/>
      <c r="B471" s="4"/>
      <c r="C471" s="4"/>
      <c r="D471" s="4"/>
    </row>
    <row r="472" ht="15.75" customHeight="1">
      <c r="A472" s="4"/>
      <c r="B472" s="4"/>
      <c r="C472" s="4"/>
      <c r="D472" s="4"/>
    </row>
    <row r="473" ht="15.75" customHeight="1">
      <c r="A473" s="4"/>
      <c r="B473" s="4"/>
      <c r="C473" s="4"/>
      <c r="D473" s="4"/>
    </row>
    <row r="474" ht="15.75" customHeight="1">
      <c r="A474" s="4"/>
      <c r="B474" s="4"/>
      <c r="C474" s="4"/>
      <c r="D474" s="4"/>
    </row>
    <row r="475" ht="15.75" customHeight="1">
      <c r="A475" s="4"/>
      <c r="B475" s="4"/>
      <c r="C475" s="4"/>
      <c r="D475" s="4"/>
    </row>
    <row r="476" ht="15.75" customHeight="1">
      <c r="A476" s="4"/>
      <c r="B476" s="4"/>
      <c r="C476" s="4"/>
      <c r="D476" s="4"/>
    </row>
    <row r="477" ht="15.75" customHeight="1">
      <c r="A477" s="4"/>
      <c r="B477" s="4"/>
      <c r="C477" s="4"/>
      <c r="D477" s="4"/>
    </row>
    <row r="478" ht="15.75" customHeight="1">
      <c r="A478" s="4"/>
      <c r="B478" s="4"/>
      <c r="C478" s="4"/>
      <c r="D478" s="4"/>
    </row>
    <row r="479" ht="15.75" customHeight="1">
      <c r="A479" s="4"/>
      <c r="B479" s="4"/>
      <c r="C479" s="4"/>
      <c r="D479" s="4"/>
    </row>
    <row r="480" ht="15.75" customHeight="1">
      <c r="A480" s="4"/>
      <c r="B480" s="4"/>
      <c r="C480" s="4"/>
      <c r="D480" s="4"/>
    </row>
    <row r="481" ht="15.75" customHeight="1">
      <c r="A481" s="4"/>
      <c r="B481" s="4"/>
      <c r="C481" s="4"/>
      <c r="D481" s="4"/>
    </row>
    <row r="482" ht="15.75" customHeight="1">
      <c r="A482" s="4"/>
      <c r="B482" s="4"/>
      <c r="C482" s="4"/>
      <c r="D482" s="4"/>
    </row>
    <row r="483" ht="15.75" customHeight="1">
      <c r="A483" s="4"/>
      <c r="B483" s="4"/>
      <c r="C483" s="4"/>
      <c r="D483" s="4"/>
    </row>
    <row r="484" ht="15.75" customHeight="1">
      <c r="A484" s="4"/>
      <c r="B484" s="4"/>
      <c r="C484" s="4"/>
      <c r="D484" s="4"/>
    </row>
    <row r="485" ht="15.75" customHeight="1">
      <c r="A485" s="4"/>
      <c r="B485" s="4"/>
      <c r="C485" s="4"/>
      <c r="D485" s="4"/>
    </row>
    <row r="486" ht="15.75" customHeight="1">
      <c r="A486" s="4"/>
      <c r="B486" s="4"/>
      <c r="C486" s="4"/>
      <c r="D486" s="4"/>
    </row>
    <row r="487" ht="15.75" customHeight="1">
      <c r="A487" s="4"/>
      <c r="B487" s="4"/>
      <c r="C487" s="4"/>
      <c r="D487" s="4"/>
    </row>
    <row r="488" ht="15.75" customHeight="1">
      <c r="A488" s="4"/>
      <c r="B488" s="4"/>
      <c r="C488" s="4"/>
      <c r="D488" s="4"/>
    </row>
    <row r="489" ht="15.75" customHeight="1">
      <c r="A489" s="4"/>
      <c r="B489" s="4"/>
      <c r="C489" s="4"/>
      <c r="D489" s="4"/>
    </row>
    <row r="490" ht="15.75" customHeight="1">
      <c r="A490" s="4"/>
      <c r="B490" s="4"/>
      <c r="C490" s="4"/>
      <c r="D490" s="4"/>
    </row>
    <row r="491" ht="15.75" customHeight="1">
      <c r="A491" s="4"/>
      <c r="B491" s="4"/>
      <c r="C491" s="4"/>
      <c r="D491" s="4"/>
    </row>
    <row r="492" ht="15.75" customHeight="1">
      <c r="A492" s="4"/>
      <c r="B492" s="4"/>
      <c r="C492" s="4"/>
      <c r="D492" s="4"/>
    </row>
    <row r="493" ht="15.75" customHeight="1">
      <c r="A493" s="4"/>
      <c r="B493" s="4"/>
      <c r="C493" s="4"/>
      <c r="D493" s="4"/>
    </row>
    <row r="494" ht="15.75" customHeight="1">
      <c r="A494" s="4"/>
      <c r="B494" s="4"/>
      <c r="C494" s="4"/>
      <c r="D494" s="4"/>
    </row>
    <row r="495" ht="15.75" customHeight="1">
      <c r="A495" s="4"/>
      <c r="B495" s="4"/>
      <c r="C495" s="4"/>
      <c r="D495" s="4"/>
    </row>
    <row r="496" ht="15.75" customHeight="1">
      <c r="A496" s="4"/>
      <c r="B496" s="4"/>
      <c r="C496" s="4"/>
      <c r="D496" s="4"/>
    </row>
    <row r="497" ht="15.75" customHeight="1">
      <c r="A497" s="4"/>
      <c r="B497" s="4"/>
      <c r="C497" s="4"/>
      <c r="D497" s="4"/>
    </row>
    <row r="498" ht="15.75" customHeight="1">
      <c r="A498" s="4"/>
      <c r="B498" s="4"/>
      <c r="C498" s="4"/>
      <c r="D498" s="4"/>
    </row>
    <row r="499" ht="15.75" customHeight="1">
      <c r="A499" s="4"/>
      <c r="B499" s="4"/>
      <c r="C499" s="4"/>
      <c r="D499" s="4"/>
    </row>
    <row r="500" ht="15.75" customHeight="1">
      <c r="A500" s="4"/>
      <c r="B500" s="4"/>
      <c r="C500" s="4"/>
      <c r="D500" s="4"/>
    </row>
    <row r="501" ht="15.75" customHeight="1">
      <c r="A501" s="4"/>
      <c r="B501" s="4"/>
      <c r="C501" s="4"/>
      <c r="D501" s="4"/>
    </row>
    <row r="502" ht="15.75" customHeight="1">
      <c r="A502" s="4"/>
      <c r="B502" s="4"/>
      <c r="C502" s="4"/>
      <c r="D502" s="4"/>
    </row>
    <row r="503" ht="15.75" customHeight="1">
      <c r="A503" s="4"/>
      <c r="B503" s="4"/>
      <c r="C503" s="4"/>
      <c r="D503" s="4"/>
    </row>
    <row r="504" ht="15.75" customHeight="1">
      <c r="A504" s="4"/>
      <c r="B504" s="4"/>
      <c r="C504" s="4"/>
      <c r="D504" s="4"/>
    </row>
    <row r="505" ht="15.75" customHeight="1">
      <c r="A505" s="4"/>
      <c r="B505" s="4"/>
      <c r="C505" s="4"/>
      <c r="D505" s="4"/>
    </row>
    <row r="506" ht="15.75" customHeight="1">
      <c r="A506" s="4"/>
      <c r="B506" s="4"/>
      <c r="C506" s="4"/>
      <c r="D506" s="4"/>
    </row>
    <row r="507" ht="15.75" customHeight="1">
      <c r="A507" s="4"/>
      <c r="B507" s="4"/>
      <c r="C507" s="4"/>
      <c r="D507" s="4"/>
    </row>
    <row r="508" ht="15.75" customHeight="1">
      <c r="A508" s="4"/>
      <c r="B508" s="4"/>
      <c r="C508" s="4"/>
      <c r="D508" s="4"/>
    </row>
    <row r="509" ht="15.75" customHeight="1">
      <c r="A509" s="4"/>
      <c r="B509" s="4"/>
      <c r="C509" s="4"/>
      <c r="D509" s="4"/>
    </row>
    <row r="510" ht="15.75" customHeight="1">
      <c r="A510" s="4"/>
      <c r="B510" s="4"/>
      <c r="C510" s="4"/>
      <c r="D510" s="4"/>
    </row>
    <row r="511" ht="15.75" customHeight="1">
      <c r="A511" s="4"/>
      <c r="B511" s="4"/>
      <c r="C511" s="4"/>
      <c r="D511" s="4"/>
    </row>
    <row r="512" ht="15.75" customHeight="1">
      <c r="A512" s="4"/>
      <c r="B512" s="4"/>
      <c r="C512" s="4"/>
      <c r="D512" s="4"/>
    </row>
    <row r="513" ht="15.75" customHeight="1">
      <c r="A513" s="4"/>
      <c r="B513" s="4"/>
      <c r="C513" s="4"/>
      <c r="D513" s="4"/>
    </row>
    <row r="514" ht="15.75" customHeight="1">
      <c r="A514" s="4"/>
      <c r="B514" s="4"/>
      <c r="C514" s="4"/>
      <c r="D514" s="4"/>
    </row>
    <row r="515" ht="15.75" customHeight="1">
      <c r="A515" s="4"/>
      <c r="B515" s="4"/>
      <c r="C515" s="4"/>
      <c r="D515" s="4"/>
    </row>
    <row r="516" ht="15.75" customHeight="1">
      <c r="A516" s="4"/>
      <c r="B516" s="4"/>
      <c r="C516" s="4"/>
      <c r="D516" s="4"/>
    </row>
    <row r="517" ht="15.75" customHeight="1">
      <c r="A517" s="4"/>
      <c r="B517" s="4"/>
      <c r="C517" s="4"/>
      <c r="D517" s="4"/>
    </row>
    <row r="518" ht="15.75" customHeight="1">
      <c r="A518" s="4"/>
      <c r="B518" s="4"/>
      <c r="C518" s="4"/>
      <c r="D518" s="4"/>
    </row>
    <row r="519" ht="15.75" customHeight="1">
      <c r="A519" s="4"/>
      <c r="B519" s="4"/>
      <c r="C519" s="4"/>
      <c r="D519" s="4"/>
    </row>
    <row r="520" ht="15.75" customHeight="1">
      <c r="A520" s="4"/>
      <c r="B520" s="4"/>
      <c r="C520" s="4"/>
      <c r="D520" s="4"/>
    </row>
    <row r="521" ht="15.75" customHeight="1">
      <c r="A521" s="4"/>
      <c r="B521" s="4"/>
      <c r="C521" s="4"/>
      <c r="D521" s="4"/>
    </row>
    <row r="522" ht="15.75" customHeight="1">
      <c r="A522" s="4"/>
      <c r="B522" s="4"/>
      <c r="C522" s="4"/>
      <c r="D522" s="4"/>
    </row>
    <row r="523" ht="15.75" customHeight="1">
      <c r="A523" s="4"/>
      <c r="B523" s="4"/>
      <c r="C523" s="4"/>
      <c r="D523" s="4"/>
    </row>
    <row r="524" ht="15.75" customHeight="1">
      <c r="A524" s="4"/>
      <c r="B524" s="4"/>
      <c r="C524" s="4"/>
      <c r="D524" s="4"/>
    </row>
    <row r="525" ht="15.75" customHeight="1">
      <c r="A525" s="4"/>
      <c r="B525" s="4"/>
      <c r="C525" s="4"/>
      <c r="D525" s="4"/>
    </row>
    <row r="526" ht="15.75" customHeight="1">
      <c r="A526" s="4"/>
      <c r="B526" s="4"/>
      <c r="C526" s="4"/>
      <c r="D526" s="4"/>
    </row>
    <row r="527" ht="15.75" customHeight="1">
      <c r="A527" s="4"/>
      <c r="B527" s="4"/>
      <c r="C527" s="4"/>
      <c r="D527" s="4"/>
    </row>
    <row r="528" ht="15.75" customHeight="1">
      <c r="A528" s="4"/>
      <c r="B528" s="4"/>
      <c r="C528" s="4"/>
      <c r="D528" s="4"/>
    </row>
    <row r="529" ht="15.75" customHeight="1">
      <c r="A529" s="4"/>
      <c r="B529" s="4"/>
      <c r="C529" s="4"/>
      <c r="D529" s="4"/>
    </row>
    <row r="530" ht="15.75" customHeight="1">
      <c r="A530" s="4"/>
      <c r="B530" s="4"/>
      <c r="C530" s="4"/>
      <c r="D530" s="4"/>
    </row>
    <row r="531" ht="15.75" customHeight="1">
      <c r="A531" s="4"/>
      <c r="B531" s="4"/>
      <c r="C531" s="4"/>
      <c r="D531" s="4"/>
    </row>
    <row r="532" ht="15.75" customHeight="1">
      <c r="A532" s="4"/>
      <c r="B532" s="4"/>
      <c r="C532" s="4"/>
      <c r="D532" s="4"/>
    </row>
    <row r="533" ht="15.75" customHeight="1">
      <c r="A533" s="4"/>
      <c r="B533" s="4"/>
      <c r="C533" s="4"/>
      <c r="D533" s="4"/>
    </row>
    <row r="534" ht="15.75" customHeight="1">
      <c r="A534" s="4"/>
      <c r="B534" s="4"/>
      <c r="C534" s="4"/>
      <c r="D534" s="4"/>
    </row>
    <row r="535" ht="15.75" customHeight="1">
      <c r="A535" s="4"/>
      <c r="B535" s="4"/>
      <c r="C535" s="4"/>
      <c r="D535" s="4"/>
    </row>
    <row r="536" ht="15.75" customHeight="1">
      <c r="A536" s="4"/>
      <c r="B536" s="4"/>
      <c r="C536" s="4"/>
      <c r="D536" s="4"/>
    </row>
    <row r="537" ht="15.75" customHeight="1">
      <c r="A537" s="4"/>
      <c r="B537" s="4"/>
      <c r="C537" s="4"/>
      <c r="D537" s="4"/>
    </row>
    <row r="538" ht="15.75" customHeight="1">
      <c r="A538" s="4"/>
      <c r="B538" s="4"/>
      <c r="C538" s="4"/>
      <c r="D538" s="4"/>
    </row>
    <row r="539" ht="15.75" customHeight="1">
      <c r="A539" s="4"/>
      <c r="B539" s="4"/>
      <c r="C539" s="4"/>
      <c r="D539" s="4"/>
    </row>
    <row r="540" ht="15.75" customHeight="1">
      <c r="A540" s="4"/>
      <c r="B540" s="4"/>
      <c r="C540" s="4"/>
      <c r="D540" s="4"/>
    </row>
    <row r="541" ht="15.75" customHeight="1">
      <c r="A541" s="4"/>
      <c r="B541" s="4"/>
      <c r="C541" s="4"/>
      <c r="D541" s="4"/>
    </row>
    <row r="542" ht="15.75" customHeight="1">
      <c r="A542" s="4"/>
      <c r="B542" s="4"/>
      <c r="C542" s="4"/>
      <c r="D542" s="4"/>
    </row>
    <row r="543" ht="15.75" customHeight="1">
      <c r="A543" s="4"/>
      <c r="B543" s="4"/>
      <c r="C543" s="4"/>
      <c r="D543" s="4"/>
    </row>
    <row r="544" ht="15.75" customHeight="1">
      <c r="A544" s="4"/>
      <c r="B544" s="4"/>
      <c r="C544" s="4"/>
      <c r="D544" s="4"/>
    </row>
    <row r="545" ht="15.75" customHeight="1">
      <c r="A545" s="4"/>
      <c r="B545" s="4"/>
      <c r="C545" s="4"/>
      <c r="D545" s="4"/>
    </row>
    <row r="546" ht="15.75" customHeight="1">
      <c r="A546" s="4"/>
      <c r="B546" s="4"/>
      <c r="C546" s="4"/>
      <c r="D546" s="4"/>
    </row>
    <row r="547" ht="15.75" customHeight="1">
      <c r="A547" s="4"/>
      <c r="B547" s="4"/>
      <c r="C547" s="4"/>
      <c r="D547" s="4"/>
    </row>
    <row r="548" ht="15.75" customHeight="1">
      <c r="A548" s="4"/>
      <c r="B548" s="4"/>
      <c r="C548" s="4"/>
      <c r="D548" s="4"/>
    </row>
    <row r="549" ht="15.75" customHeight="1">
      <c r="A549" s="4"/>
      <c r="B549" s="4"/>
      <c r="C549" s="4"/>
      <c r="D549" s="4"/>
    </row>
    <row r="550" ht="15.75" customHeight="1">
      <c r="A550" s="4"/>
      <c r="B550" s="4"/>
      <c r="C550" s="4"/>
      <c r="D550" s="4"/>
    </row>
    <row r="551" ht="15.75" customHeight="1">
      <c r="A551" s="4"/>
      <c r="B551" s="4"/>
      <c r="C551" s="4"/>
      <c r="D551" s="4"/>
    </row>
    <row r="552" ht="15.75" customHeight="1">
      <c r="A552" s="4"/>
      <c r="B552" s="4"/>
      <c r="C552" s="4"/>
      <c r="D552" s="4"/>
    </row>
    <row r="553" ht="15.75" customHeight="1">
      <c r="A553" s="4"/>
      <c r="B553" s="4"/>
      <c r="C553" s="4"/>
      <c r="D553" s="4"/>
    </row>
    <row r="554" ht="15.75" customHeight="1">
      <c r="A554" s="4"/>
      <c r="B554" s="4"/>
      <c r="C554" s="4"/>
      <c r="D554" s="4"/>
    </row>
    <row r="555" ht="15.75" customHeight="1">
      <c r="A555" s="4"/>
      <c r="B555" s="4"/>
      <c r="C555" s="4"/>
      <c r="D555" s="4"/>
    </row>
    <row r="556" ht="15.75" customHeight="1">
      <c r="A556" s="4"/>
      <c r="B556" s="4"/>
      <c r="C556" s="4"/>
      <c r="D556" s="4"/>
    </row>
    <row r="557" ht="15.75" customHeight="1">
      <c r="A557" s="4"/>
      <c r="B557" s="4"/>
      <c r="C557" s="4"/>
      <c r="D557" s="4"/>
    </row>
    <row r="558" ht="15.75" customHeight="1">
      <c r="A558" s="4"/>
      <c r="B558" s="4"/>
      <c r="C558" s="4"/>
      <c r="D558" s="4"/>
    </row>
    <row r="559" ht="15.75" customHeight="1">
      <c r="A559" s="4"/>
      <c r="B559" s="4"/>
      <c r="C559" s="4"/>
      <c r="D559" s="4"/>
    </row>
    <row r="560" ht="15.75" customHeight="1">
      <c r="A560" s="4"/>
      <c r="B560" s="4"/>
      <c r="C560" s="4"/>
      <c r="D560" s="4"/>
    </row>
    <row r="561" ht="15.75" customHeight="1">
      <c r="A561" s="4"/>
      <c r="B561" s="4"/>
      <c r="C561" s="4"/>
      <c r="D561" s="4"/>
    </row>
    <row r="562" ht="15.75" customHeight="1">
      <c r="A562" s="4"/>
      <c r="B562" s="4"/>
      <c r="C562" s="4"/>
      <c r="D562" s="4"/>
    </row>
    <row r="563" ht="15.75" customHeight="1">
      <c r="A563" s="4"/>
      <c r="B563" s="4"/>
      <c r="C563" s="4"/>
      <c r="D563" s="4"/>
    </row>
    <row r="564" ht="15.75" customHeight="1">
      <c r="A564" s="4"/>
      <c r="B564" s="4"/>
      <c r="C564" s="4"/>
      <c r="D564" s="4"/>
    </row>
    <row r="565" ht="15.75" customHeight="1">
      <c r="A565" s="4"/>
      <c r="B565" s="4"/>
      <c r="C565" s="4"/>
      <c r="D565" s="4"/>
    </row>
    <row r="566" ht="15.75" customHeight="1">
      <c r="A566" s="4"/>
      <c r="B566" s="4"/>
      <c r="C566" s="4"/>
      <c r="D566" s="4"/>
    </row>
    <row r="567" ht="15.75" customHeight="1">
      <c r="A567" s="4"/>
      <c r="B567" s="4"/>
      <c r="C567" s="4"/>
      <c r="D567" s="4"/>
    </row>
    <row r="568" ht="15.75" customHeight="1">
      <c r="A568" s="4"/>
      <c r="B568" s="4"/>
      <c r="C568" s="4"/>
      <c r="D568" s="4"/>
    </row>
    <row r="569" ht="15.75" customHeight="1">
      <c r="A569" s="4"/>
      <c r="B569" s="4"/>
      <c r="C569" s="4"/>
      <c r="D569" s="4"/>
    </row>
    <row r="570" ht="15.75" customHeight="1">
      <c r="A570" s="4"/>
      <c r="B570" s="4"/>
      <c r="C570" s="4"/>
      <c r="D570" s="4"/>
    </row>
    <row r="571" ht="15.75" customHeight="1">
      <c r="A571" s="4"/>
      <c r="B571" s="4"/>
      <c r="C571" s="4"/>
      <c r="D571" s="4"/>
    </row>
    <row r="572" ht="15.75" customHeight="1">
      <c r="A572" s="4"/>
      <c r="B572" s="4"/>
      <c r="C572" s="4"/>
      <c r="D572" s="4"/>
    </row>
    <row r="573" ht="15.75" customHeight="1">
      <c r="A573" s="4"/>
      <c r="B573" s="4"/>
      <c r="C573" s="4"/>
      <c r="D573" s="4"/>
    </row>
    <row r="574" ht="15.75" customHeight="1">
      <c r="A574" s="4"/>
      <c r="B574" s="4"/>
      <c r="C574" s="4"/>
      <c r="D574" s="4"/>
    </row>
    <row r="575" ht="15.75" customHeight="1">
      <c r="A575" s="4"/>
      <c r="B575" s="4"/>
      <c r="C575" s="4"/>
      <c r="D575" s="4"/>
    </row>
    <row r="576" ht="15.75" customHeight="1">
      <c r="A576" s="4"/>
      <c r="B576" s="4"/>
      <c r="C576" s="4"/>
      <c r="D576" s="4"/>
    </row>
    <row r="577" ht="15.75" customHeight="1">
      <c r="A577" s="4"/>
      <c r="B577" s="4"/>
      <c r="C577" s="4"/>
      <c r="D577" s="4"/>
    </row>
    <row r="578" ht="15.75" customHeight="1">
      <c r="A578" s="4"/>
      <c r="B578" s="4"/>
      <c r="C578" s="4"/>
      <c r="D578" s="4"/>
    </row>
    <row r="579" ht="15.75" customHeight="1">
      <c r="A579" s="4"/>
      <c r="B579" s="4"/>
      <c r="C579" s="4"/>
      <c r="D579" s="4"/>
    </row>
    <row r="580" ht="15.75" customHeight="1">
      <c r="A580" s="4"/>
      <c r="B580" s="4"/>
      <c r="C580" s="4"/>
      <c r="D580" s="4"/>
    </row>
    <row r="581" ht="15.75" customHeight="1">
      <c r="A581" s="4"/>
      <c r="B581" s="4"/>
      <c r="C581" s="4"/>
      <c r="D581" s="4"/>
    </row>
    <row r="582" ht="15.75" customHeight="1">
      <c r="A582" s="4"/>
      <c r="B582" s="4"/>
      <c r="C582" s="4"/>
      <c r="D582" s="4"/>
    </row>
    <row r="583" ht="15.75" customHeight="1">
      <c r="A583" s="4"/>
      <c r="B583" s="4"/>
      <c r="C583" s="4"/>
      <c r="D583" s="4"/>
    </row>
    <row r="584" ht="15.75" customHeight="1">
      <c r="A584" s="4"/>
      <c r="B584" s="4"/>
      <c r="C584" s="4"/>
      <c r="D584" s="4"/>
    </row>
    <row r="585" ht="15.75" customHeight="1">
      <c r="A585" s="4"/>
      <c r="B585" s="4"/>
      <c r="C585" s="4"/>
      <c r="D585" s="4"/>
    </row>
    <row r="586" ht="15.75" customHeight="1">
      <c r="A586" s="4"/>
      <c r="B586" s="4"/>
      <c r="C586" s="4"/>
      <c r="D586" s="4"/>
    </row>
    <row r="587" ht="15.75" customHeight="1">
      <c r="A587" s="4"/>
      <c r="B587" s="4"/>
      <c r="C587" s="4"/>
      <c r="D587" s="4"/>
    </row>
    <row r="588" ht="15.75" customHeight="1">
      <c r="A588" s="4"/>
      <c r="B588" s="4"/>
      <c r="C588" s="4"/>
      <c r="D588" s="4"/>
    </row>
    <row r="589" ht="15.75" customHeight="1">
      <c r="A589" s="4"/>
      <c r="B589" s="4"/>
      <c r="C589" s="4"/>
      <c r="D589" s="4"/>
    </row>
    <row r="590" ht="15.75" customHeight="1">
      <c r="A590" s="4"/>
      <c r="B590" s="4"/>
      <c r="C590" s="4"/>
      <c r="D590" s="4"/>
    </row>
    <row r="591" ht="15.75" customHeight="1">
      <c r="A591" s="4"/>
      <c r="B591" s="4"/>
      <c r="C591" s="4"/>
      <c r="D591" s="4"/>
    </row>
    <row r="592" ht="15.75" customHeight="1">
      <c r="A592" s="4"/>
      <c r="B592" s="4"/>
      <c r="C592" s="4"/>
      <c r="D592" s="4"/>
    </row>
    <row r="593" ht="15.75" customHeight="1">
      <c r="A593" s="4"/>
      <c r="B593" s="4"/>
      <c r="C593" s="4"/>
      <c r="D593" s="4"/>
    </row>
    <row r="594" ht="15.75" customHeight="1">
      <c r="A594" s="4"/>
      <c r="B594" s="4"/>
      <c r="C594" s="4"/>
      <c r="D594" s="4"/>
    </row>
    <row r="595" ht="15.75" customHeight="1">
      <c r="A595" s="4"/>
      <c r="B595" s="4"/>
      <c r="C595" s="4"/>
      <c r="D595" s="4"/>
    </row>
    <row r="596" ht="15.75" customHeight="1">
      <c r="A596" s="4"/>
      <c r="B596" s="4"/>
      <c r="C596" s="4"/>
      <c r="D596" s="4"/>
    </row>
    <row r="597" ht="15.75" customHeight="1">
      <c r="A597" s="4"/>
      <c r="B597" s="4"/>
      <c r="C597" s="4"/>
      <c r="D597" s="4"/>
    </row>
    <row r="598" ht="15.75" customHeight="1">
      <c r="A598" s="4"/>
      <c r="B598" s="4"/>
      <c r="C598" s="4"/>
      <c r="D598" s="4"/>
    </row>
    <row r="599" ht="15.75" customHeight="1">
      <c r="A599" s="4"/>
      <c r="B599" s="4"/>
      <c r="C599" s="4"/>
      <c r="D599" s="4"/>
    </row>
    <row r="600" ht="15.75" customHeight="1">
      <c r="A600" s="4"/>
      <c r="B600" s="4"/>
      <c r="C600" s="4"/>
      <c r="D600" s="4"/>
    </row>
    <row r="601" ht="15.75" customHeight="1">
      <c r="A601" s="4"/>
      <c r="B601" s="4"/>
      <c r="C601" s="4"/>
      <c r="D601" s="4"/>
    </row>
    <row r="602" ht="15.75" customHeight="1">
      <c r="A602" s="4"/>
      <c r="B602" s="4"/>
      <c r="C602" s="4"/>
      <c r="D602" s="4"/>
    </row>
    <row r="603" ht="15.75" customHeight="1">
      <c r="A603" s="4"/>
      <c r="B603" s="4"/>
      <c r="C603" s="4"/>
      <c r="D603" s="4"/>
    </row>
    <row r="604" ht="15.75" customHeight="1">
      <c r="A604" s="4"/>
      <c r="B604" s="4"/>
      <c r="C604" s="4"/>
      <c r="D604" s="4"/>
    </row>
    <row r="605" ht="15.75" customHeight="1">
      <c r="A605" s="4"/>
      <c r="B605" s="4"/>
      <c r="C605" s="4"/>
      <c r="D605" s="4"/>
    </row>
    <row r="606" ht="15.75" customHeight="1">
      <c r="A606" s="4"/>
      <c r="B606" s="4"/>
      <c r="C606" s="4"/>
      <c r="D606" s="4"/>
    </row>
    <row r="607" ht="15.75" customHeight="1">
      <c r="A607" s="4"/>
      <c r="B607" s="4"/>
      <c r="C607" s="4"/>
      <c r="D607" s="4"/>
    </row>
    <row r="608" ht="15.75" customHeight="1">
      <c r="A608" s="4"/>
      <c r="B608" s="4"/>
      <c r="C608" s="4"/>
      <c r="D608" s="4"/>
    </row>
    <row r="609" ht="15.75" customHeight="1">
      <c r="A609" s="4"/>
      <c r="B609" s="4"/>
      <c r="C609" s="4"/>
      <c r="D609" s="4"/>
    </row>
    <row r="610" ht="15.75" customHeight="1">
      <c r="A610" s="4"/>
      <c r="B610" s="4"/>
      <c r="C610" s="4"/>
      <c r="D610" s="4"/>
    </row>
    <row r="611" ht="15.75" customHeight="1">
      <c r="A611" s="4"/>
      <c r="B611" s="4"/>
      <c r="C611" s="4"/>
      <c r="D611" s="4"/>
    </row>
    <row r="612" ht="15.75" customHeight="1">
      <c r="A612" s="4"/>
      <c r="B612" s="4"/>
      <c r="C612" s="4"/>
      <c r="D612" s="4"/>
    </row>
    <row r="613" ht="15.75" customHeight="1">
      <c r="A613" s="4"/>
      <c r="B613" s="4"/>
      <c r="C613" s="4"/>
      <c r="D613" s="4"/>
    </row>
    <row r="614" ht="15.75" customHeight="1">
      <c r="A614" s="4"/>
      <c r="B614" s="4"/>
      <c r="C614" s="4"/>
      <c r="D614" s="4"/>
    </row>
    <row r="615" ht="15.75" customHeight="1">
      <c r="A615" s="4"/>
      <c r="B615" s="4"/>
      <c r="C615" s="4"/>
      <c r="D615" s="4"/>
    </row>
    <row r="616" ht="15.75" customHeight="1">
      <c r="A616" s="4"/>
      <c r="B616" s="4"/>
      <c r="C616" s="4"/>
      <c r="D616" s="4"/>
    </row>
    <row r="617" ht="15.75" customHeight="1">
      <c r="A617" s="4"/>
      <c r="B617" s="4"/>
      <c r="C617" s="4"/>
      <c r="D617" s="4"/>
    </row>
    <row r="618" ht="15.75" customHeight="1">
      <c r="A618" s="4"/>
      <c r="B618" s="4"/>
      <c r="C618" s="4"/>
      <c r="D618" s="4"/>
    </row>
    <row r="619" ht="15.75" customHeight="1">
      <c r="A619" s="4"/>
      <c r="B619" s="4"/>
      <c r="C619" s="4"/>
      <c r="D619" s="4"/>
    </row>
    <row r="620" ht="15.75" customHeight="1">
      <c r="A620" s="4"/>
      <c r="B620" s="4"/>
      <c r="C620" s="4"/>
      <c r="D620" s="4"/>
    </row>
    <row r="621" ht="15.75" customHeight="1">
      <c r="A621" s="4"/>
      <c r="B621" s="4"/>
      <c r="C621" s="4"/>
      <c r="D621" s="4"/>
    </row>
    <row r="622" ht="15.75" customHeight="1">
      <c r="A622" s="4"/>
      <c r="B622" s="4"/>
      <c r="C622" s="4"/>
      <c r="D622" s="4"/>
    </row>
    <row r="623" ht="15.75" customHeight="1">
      <c r="A623" s="4"/>
      <c r="B623" s="4"/>
      <c r="C623" s="4"/>
      <c r="D623" s="4"/>
    </row>
    <row r="624" ht="15.75" customHeight="1">
      <c r="A624" s="4"/>
      <c r="B624" s="4"/>
      <c r="C624" s="4"/>
      <c r="D624" s="4"/>
    </row>
    <row r="625" ht="15.75" customHeight="1">
      <c r="A625" s="4"/>
      <c r="B625" s="4"/>
      <c r="C625" s="4"/>
      <c r="D625" s="4"/>
    </row>
    <row r="626" ht="15.75" customHeight="1">
      <c r="A626" s="4"/>
      <c r="B626" s="4"/>
      <c r="C626" s="4"/>
      <c r="D626" s="4"/>
    </row>
    <row r="627" ht="15.75" customHeight="1">
      <c r="A627" s="4"/>
      <c r="B627" s="4"/>
      <c r="C627" s="4"/>
      <c r="D627" s="4"/>
    </row>
    <row r="628" ht="15.75" customHeight="1">
      <c r="A628" s="4"/>
      <c r="B628" s="4"/>
      <c r="C628" s="4"/>
      <c r="D628" s="4"/>
    </row>
    <row r="629" ht="15.75" customHeight="1">
      <c r="A629" s="4"/>
      <c r="B629" s="4"/>
      <c r="C629" s="4"/>
      <c r="D629" s="4"/>
    </row>
    <row r="630" ht="15.75" customHeight="1">
      <c r="A630" s="4"/>
      <c r="B630" s="4"/>
      <c r="C630" s="4"/>
      <c r="D630" s="4"/>
    </row>
    <row r="631" ht="15.75" customHeight="1">
      <c r="A631" s="4"/>
      <c r="B631" s="4"/>
      <c r="C631" s="4"/>
      <c r="D631" s="4"/>
    </row>
    <row r="632" ht="15.75" customHeight="1">
      <c r="A632" s="4"/>
      <c r="B632" s="4"/>
      <c r="C632" s="4"/>
      <c r="D632" s="4"/>
    </row>
    <row r="633" ht="15.75" customHeight="1">
      <c r="A633" s="4"/>
      <c r="B633" s="4"/>
      <c r="C633" s="4"/>
      <c r="D633" s="4"/>
    </row>
    <row r="634" ht="15.75" customHeight="1">
      <c r="A634" s="4"/>
      <c r="B634" s="4"/>
      <c r="C634" s="4"/>
      <c r="D634" s="4"/>
    </row>
    <row r="635" ht="15.75" customHeight="1">
      <c r="A635" s="4"/>
      <c r="B635" s="4"/>
      <c r="C635" s="4"/>
      <c r="D635" s="4"/>
    </row>
    <row r="636" ht="15.75" customHeight="1">
      <c r="A636" s="4"/>
      <c r="B636" s="4"/>
      <c r="C636" s="4"/>
      <c r="D636" s="4"/>
    </row>
    <row r="637" ht="15.75" customHeight="1">
      <c r="A637" s="4"/>
      <c r="B637" s="4"/>
      <c r="C637" s="4"/>
      <c r="D637" s="4"/>
    </row>
    <row r="638" ht="15.75" customHeight="1">
      <c r="A638" s="4"/>
      <c r="B638" s="4"/>
      <c r="C638" s="4"/>
      <c r="D638" s="4"/>
    </row>
    <row r="639" ht="15.75" customHeight="1">
      <c r="A639" s="4"/>
      <c r="B639" s="4"/>
      <c r="C639" s="4"/>
      <c r="D639" s="4"/>
    </row>
    <row r="640" ht="15.75" customHeight="1">
      <c r="A640" s="4"/>
      <c r="B640" s="4"/>
      <c r="C640" s="4"/>
      <c r="D640" s="4"/>
    </row>
    <row r="641" ht="15.75" customHeight="1">
      <c r="A641" s="4"/>
      <c r="B641" s="4"/>
      <c r="C641" s="4"/>
      <c r="D641" s="4"/>
    </row>
    <row r="642" ht="15.75" customHeight="1">
      <c r="A642" s="4"/>
      <c r="B642" s="4"/>
      <c r="C642" s="4"/>
      <c r="D642" s="4"/>
    </row>
    <row r="643" ht="15.75" customHeight="1">
      <c r="A643" s="4"/>
      <c r="B643" s="4"/>
      <c r="C643" s="4"/>
      <c r="D643" s="4"/>
    </row>
    <row r="644" ht="15.75" customHeight="1">
      <c r="A644" s="4"/>
      <c r="B644" s="4"/>
      <c r="C644" s="4"/>
      <c r="D644" s="4"/>
    </row>
    <row r="645" ht="15.75" customHeight="1">
      <c r="A645" s="4"/>
      <c r="B645" s="4"/>
      <c r="C645" s="4"/>
      <c r="D645" s="4"/>
    </row>
    <row r="646" ht="15.75" customHeight="1">
      <c r="A646" s="4"/>
      <c r="B646" s="4"/>
      <c r="C646" s="4"/>
      <c r="D646" s="4"/>
    </row>
    <row r="647" ht="15.75" customHeight="1">
      <c r="A647" s="4"/>
      <c r="B647" s="4"/>
      <c r="C647" s="4"/>
      <c r="D647" s="4"/>
    </row>
    <row r="648" ht="15.75" customHeight="1">
      <c r="A648" s="4"/>
      <c r="B648" s="4"/>
      <c r="C648" s="4"/>
      <c r="D648" s="4"/>
    </row>
    <row r="649" ht="15.75" customHeight="1">
      <c r="A649" s="4"/>
      <c r="B649" s="4"/>
      <c r="C649" s="4"/>
      <c r="D649" s="4"/>
    </row>
    <row r="650" ht="15.75" customHeight="1">
      <c r="A650" s="4"/>
      <c r="B650" s="4"/>
      <c r="C650" s="4"/>
      <c r="D650" s="4"/>
    </row>
    <row r="651" ht="15.75" customHeight="1">
      <c r="A651" s="4"/>
      <c r="B651" s="4"/>
      <c r="C651" s="4"/>
      <c r="D651" s="4"/>
    </row>
    <row r="652" ht="15.75" customHeight="1">
      <c r="A652" s="4"/>
      <c r="B652" s="4"/>
      <c r="C652" s="4"/>
      <c r="D652" s="4"/>
    </row>
    <row r="653" ht="15.75" customHeight="1">
      <c r="A653" s="4"/>
      <c r="B653" s="4"/>
      <c r="C653" s="4"/>
      <c r="D653" s="4"/>
    </row>
    <row r="654" ht="15.75" customHeight="1">
      <c r="A654" s="4"/>
      <c r="B654" s="4"/>
      <c r="C654" s="4"/>
      <c r="D654" s="4"/>
    </row>
    <row r="655" ht="15.75" customHeight="1">
      <c r="A655" s="4"/>
      <c r="B655" s="4"/>
      <c r="C655" s="4"/>
      <c r="D655" s="4"/>
    </row>
    <row r="656" ht="15.75" customHeight="1">
      <c r="A656" s="4"/>
      <c r="B656" s="4"/>
      <c r="C656" s="4"/>
      <c r="D656" s="4"/>
    </row>
    <row r="657" ht="15.75" customHeight="1">
      <c r="A657" s="4"/>
      <c r="B657" s="4"/>
      <c r="C657" s="4"/>
      <c r="D657" s="4"/>
    </row>
    <row r="658" ht="15.75" customHeight="1">
      <c r="A658" s="4"/>
      <c r="B658" s="4"/>
      <c r="C658" s="4"/>
      <c r="D658" s="4"/>
    </row>
    <row r="659" ht="15.75" customHeight="1">
      <c r="A659" s="4"/>
      <c r="B659" s="4"/>
      <c r="C659" s="4"/>
      <c r="D659" s="4"/>
    </row>
    <row r="660" ht="15.75" customHeight="1">
      <c r="A660" s="4"/>
      <c r="B660" s="4"/>
      <c r="C660" s="4"/>
      <c r="D660" s="4"/>
    </row>
    <row r="661" ht="15.75" customHeight="1">
      <c r="A661" s="4"/>
      <c r="B661" s="4"/>
      <c r="C661" s="4"/>
      <c r="D661" s="4"/>
    </row>
    <row r="662" ht="15.75" customHeight="1">
      <c r="A662" s="4"/>
      <c r="B662" s="4"/>
      <c r="C662" s="4"/>
      <c r="D662" s="4"/>
    </row>
    <row r="663" ht="15.75" customHeight="1">
      <c r="A663" s="4"/>
      <c r="B663" s="4"/>
      <c r="C663" s="4"/>
      <c r="D663" s="4"/>
    </row>
    <row r="664" ht="15.75" customHeight="1">
      <c r="A664" s="4"/>
      <c r="B664" s="4"/>
      <c r="C664" s="4"/>
      <c r="D664" s="4"/>
    </row>
    <row r="665" ht="15.75" customHeight="1">
      <c r="A665" s="4"/>
      <c r="B665" s="4"/>
      <c r="C665" s="4"/>
      <c r="D665" s="4"/>
    </row>
    <row r="666" ht="15.75" customHeight="1">
      <c r="A666" s="4"/>
      <c r="B666" s="4"/>
      <c r="C666" s="4"/>
      <c r="D666" s="4"/>
    </row>
    <row r="667" ht="15.75" customHeight="1">
      <c r="A667" s="4"/>
      <c r="B667" s="4"/>
      <c r="C667" s="4"/>
      <c r="D667" s="4"/>
    </row>
    <row r="668" ht="15.75" customHeight="1">
      <c r="A668" s="4"/>
      <c r="B668" s="4"/>
      <c r="C668" s="4"/>
      <c r="D668" s="4"/>
    </row>
    <row r="669" ht="15.75" customHeight="1">
      <c r="A669" s="4"/>
      <c r="B669" s="4"/>
      <c r="C669" s="4"/>
      <c r="D669" s="4"/>
    </row>
    <row r="670" ht="15.75" customHeight="1">
      <c r="A670" s="4"/>
      <c r="B670" s="4"/>
      <c r="C670" s="4"/>
      <c r="D670" s="4"/>
    </row>
    <row r="671" ht="15.75" customHeight="1">
      <c r="A671" s="4"/>
      <c r="B671" s="4"/>
      <c r="C671" s="4"/>
      <c r="D671" s="4"/>
    </row>
    <row r="672" ht="15.75" customHeight="1">
      <c r="A672" s="4"/>
      <c r="B672" s="4"/>
      <c r="C672" s="4"/>
      <c r="D672" s="4"/>
    </row>
    <row r="673" ht="15.75" customHeight="1">
      <c r="A673" s="4"/>
      <c r="B673" s="4"/>
      <c r="C673" s="4"/>
      <c r="D673" s="4"/>
    </row>
    <row r="674" ht="15.75" customHeight="1">
      <c r="A674" s="4"/>
      <c r="B674" s="4"/>
      <c r="C674" s="4"/>
      <c r="D674" s="4"/>
    </row>
    <row r="675" ht="15.75" customHeight="1">
      <c r="A675" s="4"/>
      <c r="B675" s="4"/>
      <c r="C675" s="4"/>
      <c r="D675" s="4"/>
    </row>
    <row r="676" ht="15.75" customHeight="1">
      <c r="A676" s="4"/>
      <c r="B676" s="4"/>
      <c r="C676" s="4"/>
      <c r="D676" s="4"/>
    </row>
    <row r="677" ht="15.75" customHeight="1">
      <c r="A677" s="4"/>
      <c r="B677" s="4"/>
      <c r="C677" s="4"/>
      <c r="D677" s="4"/>
    </row>
    <row r="678" ht="15.75" customHeight="1">
      <c r="A678" s="4"/>
      <c r="B678" s="4"/>
      <c r="C678" s="4"/>
      <c r="D678" s="4"/>
    </row>
    <row r="679" ht="15.75" customHeight="1">
      <c r="A679" s="4"/>
      <c r="B679" s="4"/>
      <c r="C679" s="4"/>
      <c r="D679" s="4"/>
    </row>
    <row r="680" ht="15.75" customHeight="1">
      <c r="A680" s="4"/>
      <c r="B680" s="4"/>
      <c r="C680" s="4"/>
      <c r="D680" s="4"/>
    </row>
    <row r="681" ht="15.75" customHeight="1">
      <c r="A681" s="4"/>
      <c r="B681" s="4"/>
      <c r="C681" s="4"/>
      <c r="D681" s="4"/>
    </row>
    <row r="682" ht="15.75" customHeight="1">
      <c r="A682" s="4"/>
      <c r="B682" s="4"/>
      <c r="C682" s="4"/>
      <c r="D682" s="4"/>
    </row>
    <row r="683" ht="15.75" customHeight="1">
      <c r="A683" s="4"/>
      <c r="B683" s="4"/>
      <c r="C683" s="4"/>
      <c r="D683" s="4"/>
    </row>
    <row r="684" ht="15.75" customHeight="1">
      <c r="A684" s="4"/>
      <c r="B684" s="4"/>
      <c r="C684" s="4"/>
      <c r="D684" s="4"/>
    </row>
    <row r="685" ht="15.75" customHeight="1">
      <c r="A685" s="4"/>
      <c r="B685" s="4"/>
      <c r="C685" s="4"/>
      <c r="D685" s="4"/>
    </row>
    <row r="686" ht="15.75" customHeight="1">
      <c r="A686" s="4"/>
      <c r="B686" s="4"/>
      <c r="C686" s="4"/>
      <c r="D686" s="4"/>
    </row>
    <row r="687" ht="15.75" customHeight="1">
      <c r="A687" s="4"/>
      <c r="B687" s="4"/>
      <c r="C687" s="4"/>
      <c r="D687" s="4"/>
    </row>
    <row r="688" ht="15.75" customHeight="1">
      <c r="A688" s="4"/>
      <c r="B688" s="4"/>
      <c r="C688" s="4"/>
      <c r="D688" s="4"/>
    </row>
    <row r="689" ht="15.75" customHeight="1">
      <c r="A689" s="4"/>
      <c r="B689" s="4"/>
      <c r="C689" s="4"/>
      <c r="D689" s="4"/>
    </row>
    <row r="690" ht="15.75" customHeight="1">
      <c r="A690" s="4"/>
      <c r="B690" s="4"/>
      <c r="C690" s="4"/>
      <c r="D690" s="4"/>
    </row>
    <row r="691" ht="15.75" customHeight="1">
      <c r="A691" s="4"/>
      <c r="B691" s="4"/>
      <c r="C691" s="4"/>
      <c r="D691" s="4"/>
    </row>
    <row r="692" ht="15.75" customHeight="1">
      <c r="A692" s="4"/>
      <c r="B692" s="4"/>
      <c r="C692" s="4"/>
      <c r="D692" s="4"/>
    </row>
    <row r="693" ht="15.75" customHeight="1">
      <c r="A693" s="4"/>
      <c r="B693" s="4"/>
      <c r="C693" s="4"/>
      <c r="D693" s="4"/>
    </row>
    <row r="694" ht="15.75" customHeight="1">
      <c r="A694" s="4"/>
      <c r="B694" s="4"/>
      <c r="C694" s="4"/>
      <c r="D694" s="4"/>
    </row>
    <row r="695" ht="15.75" customHeight="1">
      <c r="A695" s="4"/>
      <c r="B695" s="4"/>
      <c r="C695" s="4"/>
      <c r="D695" s="4"/>
    </row>
    <row r="696" ht="15.75" customHeight="1">
      <c r="A696" s="4"/>
      <c r="B696" s="4"/>
      <c r="C696" s="4"/>
      <c r="D696" s="4"/>
    </row>
    <row r="697" ht="15.75" customHeight="1">
      <c r="A697" s="4"/>
      <c r="B697" s="4"/>
      <c r="C697" s="4"/>
      <c r="D697" s="4"/>
    </row>
    <row r="698" ht="15.75" customHeight="1">
      <c r="A698" s="4"/>
      <c r="B698" s="4"/>
      <c r="C698" s="4"/>
      <c r="D698" s="4"/>
    </row>
    <row r="699" ht="15.75" customHeight="1">
      <c r="A699" s="4"/>
      <c r="B699" s="4"/>
      <c r="C699" s="4"/>
      <c r="D699" s="4"/>
    </row>
    <row r="700" ht="15.75" customHeight="1">
      <c r="A700" s="4"/>
      <c r="B700" s="4"/>
      <c r="C700" s="4"/>
      <c r="D700" s="4"/>
    </row>
    <row r="701" ht="15.75" customHeight="1">
      <c r="A701" s="4"/>
      <c r="B701" s="4"/>
      <c r="C701" s="4"/>
      <c r="D701" s="4"/>
    </row>
    <row r="702" ht="15.75" customHeight="1">
      <c r="A702" s="4"/>
      <c r="B702" s="4"/>
      <c r="C702" s="4"/>
      <c r="D702" s="4"/>
    </row>
    <row r="703" ht="15.75" customHeight="1">
      <c r="A703" s="4"/>
      <c r="B703" s="4"/>
      <c r="C703" s="4"/>
      <c r="D703" s="4"/>
    </row>
    <row r="704" ht="15.75" customHeight="1">
      <c r="A704" s="4"/>
      <c r="B704" s="4"/>
      <c r="C704" s="4"/>
      <c r="D704" s="4"/>
    </row>
    <row r="705" ht="15.75" customHeight="1">
      <c r="A705" s="4"/>
      <c r="B705" s="4"/>
      <c r="C705" s="4"/>
      <c r="D705" s="4"/>
    </row>
    <row r="706" ht="15.75" customHeight="1">
      <c r="A706" s="4"/>
      <c r="B706" s="4"/>
      <c r="C706" s="4"/>
      <c r="D706" s="4"/>
    </row>
    <row r="707" ht="15.75" customHeight="1">
      <c r="A707" s="4"/>
      <c r="B707" s="4"/>
      <c r="C707" s="4"/>
      <c r="D707" s="4"/>
    </row>
    <row r="708" ht="15.75" customHeight="1">
      <c r="A708" s="4"/>
      <c r="B708" s="4"/>
      <c r="C708" s="4"/>
      <c r="D708" s="4"/>
    </row>
    <row r="709" ht="15.75" customHeight="1">
      <c r="A709" s="4"/>
      <c r="B709" s="4"/>
      <c r="C709" s="4"/>
      <c r="D709" s="4"/>
    </row>
    <row r="710" ht="15.75" customHeight="1">
      <c r="A710" s="4"/>
      <c r="B710" s="4"/>
      <c r="C710" s="4"/>
      <c r="D710" s="4"/>
    </row>
    <row r="711" ht="15.75" customHeight="1">
      <c r="A711" s="4"/>
      <c r="B711" s="4"/>
      <c r="C711" s="4"/>
      <c r="D711" s="4"/>
    </row>
    <row r="712" ht="15.75" customHeight="1">
      <c r="A712" s="4"/>
      <c r="B712" s="4"/>
      <c r="C712" s="4"/>
      <c r="D712" s="4"/>
    </row>
    <row r="713" ht="15.75" customHeight="1">
      <c r="A713" s="4"/>
      <c r="B713" s="4"/>
      <c r="C713" s="4"/>
      <c r="D713" s="4"/>
    </row>
    <row r="714" ht="15.75" customHeight="1">
      <c r="A714" s="4"/>
      <c r="B714" s="4"/>
      <c r="C714" s="4"/>
      <c r="D714" s="4"/>
    </row>
    <row r="715" ht="15.75" customHeight="1">
      <c r="A715" s="4"/>
      <c r="B715" s="4"/>
      <c r="C715" s="4"/>
      <c r="D715" s="4"/>
    </row>
    <row r="716" ht="15.75" customHeight="1">
      <c r="A716" s="4"/>
      <c r="B716" s="4"/>
      <c r="C716" s="4"/>
      <c r="D716" s="4"/>
    </row>
    <row r="717" ht="15.75" customHeight="1">
      <c r="A717" s="4"/>
      <c r="B717" s="4"/>
      <c r="C717" s="4"/>
      <c r="D717" s="4"/>
    </row>
    <row r="718" ht="15.75" customHeight="1">
      <c r="A718" s="4"/>
      <c r="B718" s="4"/>
      <c r="C718" s="4"/>
      <c r="D718" s="4"/>
    </row>
    <row r="719" ht="15.75" customHeight="1">
      <c r="A719" s="4"/>
      <c r="B719" s="4"/>
      <c r="C719" s="4"/>
      <c r="D719" s="4"/>
    </row>
    <row r="720" ht="15.75" customHeight="1">
      <c r="A720" s="4"/>
      <c r="B720" s="4"/>
      <c r="C720" s="4"/>
      <c r="D720" s="4"/>
    </row>
    <row r="721" ht="15.75" customHeight="1">
      <c r="A721" s="4"/>
      <c r="B721" s="4"/>
      <c r="C721" s="4"/>
      <c r="D721" s="4"/>
    </row>
    <row r="722" ht="15.75" customHeight="1">
      <c r="A722" s="4"/>
      <c r="B722" s="4"/>
      <c r="C722" s="4"/>
      <c r="D722" s="4"/>
    </row>
    <row r="723" ht="15.75" customHeight="1">
      <c r="A723" s="4"/>
      <c r="B723" s="4"/>
      <c r="C723" s="4"/>
      <c r="D723" s="4"/>
    </row>
    <row r="724" ht="15.75" customHeight="1">
      <c r="A724" s="4"/>
      <c r="B724" s="4"/>
      <c r="C724" s="4"/>
      <c r="D724" s="4"/>
    </row>
    <row r="725" ht="15.75" customHeight="1">
      <c r="A725" s="4"/>
      <c r="B725" s="4"/>
      <c r="C725" s="4"/>
      <c r="D725" s="4"/>
    </row>
    <row r="726" ht="15.75" customHeight="1">
      <c r="A726" s="4"/>
      <c r="B726" s="4"/>
      <c r="C726" s="4"/>
      <c r="D726" s="4"/>
    </row>
    <row r="727" ht="15.75" customHeight="1">
      <c r="A727" s="4"/>
      <c r="B727" s="4"/>
      <c r="C727" s="4"/>
      <c r="D727" s="4"/>
    </row>
    <row r="728" ht="15.75" customHeight="1">
      <c r="A728" s="4"/>
      <c r="B728" s="4"/>
      <c r="C728" s="4"/>
      <c r="D728" s="4"/>
    </row>
    <row r="729" ht="15.75" customHeight="1">
      <c r="A729" s="4"/>
      <c r="B729" s="4"/>
      <c r="C729" s="4"/>
      <c r="D729" s="4"/>
    </row>
    <row r="730" ht="15.75" customHeight="1">
      <c r="A730" s="4"/>
      <c r="B730" s="4"/>
      <c r="C730" s="4"/>
      <c r="D730" s="4"/>
    </row>
    <row r="731" ht="15.75" customHeight="1">
      <c r="A731" s="4"/>
      <c r="B731" s="4"/>
      <c r="C731" s="4"/>
      <c r="D731" s="4"/>
    </row>
    <row r="732" ht="15.75" customHeight="1">
      <c r="A732" s="4"/>
      <c r="B732" s="4"/>
      <c r="C732" s="4"/>
      <c r="D732" s="4"/>
    </row>
    <row r="733" ht="15.75" customHeight="1">
      <c r="A733" s="4"/>
      <c r="B733" s="4"/>
      <c r="C733" s="4"/>
      <c r="D733" s="4"/>
    </row>
    <row r="734" ht="15.75" customHeight="1">
      <c r="A734" s="4"/>
      <c r="B734" s="4"/>
      <c r="C734" s="4"/>
      <c r="D734" s="4"/>
    </row>
    <row r="735" ht="15.75" customHeight="1">
      <c r="A735" s="4"/>
      <c r="B735" s="4"/>
      <c r="C735" s="4"/>
      <c r="D735" s="4"/>
    </row>
    <row r="736" ht="15.75" customHeight="1">
      <c r="A736" s="4"/>
      <c r="B736" s="4"/>
      <c r="C736" s="4"/>
      <c r="D736" s="4"/>
    </row>
    <row r="737" ht="15.75" customHeight="1">
      <c r="A737" s="4"/>
      <c r="B737" s="4"/>
      <c r="C737" s="4"/>
      <c r="D737" s="4"/>
    </row>
    <row r="738" ht="15.75" customHeight="1">
      <c r="A738" s="4"/>
      <c r="B738" s="4"/>
      <c r="C738" s="4"/>
      <c r="D738" s="4"/>
    </row>
    <row r="739" ht="15.75" customHeight="1">
      <c r="A739" s="4"/>
      <c r="B739" s="4"/>
      <c r="C739" s="4"/>
      <c r="D739" s="4"/>
    </row>
    <row r="740" ht="15.75" customHeight="1">
      <c r="A740" s="4"/>
      <c r="B740" s="4"/>
      <c r="C740" s="4"/>
      <c r="D740" s="4"/>
    </row>
    <row r="741" ht="15.75" customHeight="1">
      <c r="A741" s="4"/>
      <c r="B741" s="4"/>
      <c r="C741" s="4"/>
      <c r="D741" s="4"/>
    </row>
    <row r="742" ht="15.75" customHeight="1">
      <c r="A742" s="4"/>
      <c r="B742" s="4"/>
      <c r="C742" s="4"/>
      <c r="D742" s="4"/>
    </row>
    <row r="743" ht="15.75" customHeight="1">
      <c r="A743" s="4"/>
      <c r="B743" s="4"/>
      <c r="C743" s="4"/>
      <c r="D743" s="4"/>
    </row>
    <row r="744" ht="15.75" customHeight="1">
      <c r="A744" s="4"/>
      <c r="B744" s="4"/>
      <c r="C744" s="4"/>
      <c r="D744" s="4"/>
    </row>
    <row r="745" ht="15.75" customHeight="1">
      <c r="A745" s="4"/>
      <c r="B745" s="4"/>
      <c r="C745" s="4"/>
      <c r="D745" s="4"/>
    </row>
    <row r="746" ht="15.75" customHeight="1">
      <c r="A746" s="4"/>
      <c r="B746" s="4"/>
      <c r="C746" s="4"/>
      <c r="D746" s="4"/>
    </row>
    <row r="747" ht="15.75" customHeight="1">
      <c r="A747" s="4"/>
      <c r="B747" s="4"/>
      <c r="C747" s="4"/>
      <c r="D747" s="4"/>
    </row>
    <row r="748" ht="15.75" customHeight="1">
      <c r="A748" s="4"/>
      <c r="B748" s="4"/>
      <c r="C748" s="4"/>
      <c r="D748" s="4"/>
    </row>
    <row r="749" ht="15.75" customHeight="1">
      <c r="A749" s="4"/>
      <c r="B749" s="4"/>
      <c r="C749" s="4"/>
      <c r="D749" s="4"/>
    </row>
    <row r="750" ht="15.75" customHeight="1">
      <c r="A750" s="4"/>
      <c r="B750" s="4"/>
      <c r="C750" s="4"/>
      <c r="D750" s="4"/>
    </row>
    <row r="751" ht="15.75" customHeight="1">
      <c r="A751" s="4"/>
      <c r="B751" s="4"/>
      <c r="C751" s="4"/>
      <c r="D751" s="4"/>
    </row>
    <row r="752" ht="15.75" customHeight="1">
      <c r="A752" s="4"/>
      <c r="B752" s="4"/>
      <c r="C752" s="4"/>
      <c r="D752" s="4"/>
    </row>
    <row r="753" ht="15.75" customHeight="1">
      <c r="A753" s="4"/>
      <c r="B753" s="4"/>
      <c r="C753" s="4"/>
      <c r="D753" s="4"/>
    </row>
    <row r="754" ht="15.75" customHeight="1">
      <c r="A754" s="4"/>
      <c r="B754" s="4"/>
      <c r="C754" s="4"/>
      <c r="D754" s="4"/>
    </row>
    <row r="755" ht="15.75" customHeight="1">
      <c r="A755" s="4"/>
      <c r="B755" s="4"/>
      <c r="C755" s="4"/>
      <c r="D755" s="4"/>
    </row>
    <row r="756" ht="15.75" customHeight="1">
      <c r="A756" s="4"/>
      <c r="B756" s="4"/>
      <c r="C756" s="4"/>
      <c r="D756" s="4"/>
    </row>
    <row r="757" ht="15.75" customHeight="1">
      <c r="A757" s="4"/>
      <c r="B757" s="4"/>
      <c r="C757" s="4"/>
      <c r="D757" s="4"/>
    </row>
    <row r="758" ht="15.75" customHeight="1">
      <c r="A758" s="4"/>
      <c r="B758" s="4"/>
      <c r="C758" s="4"/>
      <c r="D758" s="4"/>
    </row>
    <row r="759" ht="15.75" customHeight="1">
      <c r="A759" s="4"/>
      <c r="B759" s="4"/>
      <c r="C759" s="4"/>
      <c r="D759" s="4"/>
    </row>
    <row r="760" ht="15.75" customHeight="1">
      <c r="A760" s="4"/>
      <c r="B760" s="4"/>
      <c r="C760" s="4"/>
      <c r="D760" s="4"/>
    </row>
    <row r="761" ht="15.75" customHeight="1">
      <c r="A761" s="4"/>
      <c r="B761" s="4"/>
      <c r="C761" s="4"/>
      <c r="D761" s="4"/>
    </row>
    <row r="762" ht="15.75" customHeight="1">
      <c r="A762" s="4"/>
      <c r="B762" s="4"/>
      <c r="C762" s="4"/>
      <c r="D762" s="4"/>
    </row>
    <row r="763" ht="15.75" customHeight="1">
      <c r="A763" s="4"/>
      <c r="B763" s="4"/>
      <c r="C763" s="4"/>
      <c r="D763" s="4"/>
    </row>
    <row r="764" ht="15.75" customHeight="1">
      <c r="A764" s="4"/>
      <c r="B764" s="4"/>
      <c r="C764" s="4"/>
      <c r="D764" s="4"/>
    </row>
    <row r="765" ht="15.75" customHeight="1">
      <c r="A765" s="4"/>
      <c r="B765" s="4"/>
      <c r="C765" s="4"/>
      <c r="D765" s="4"/>
    </row>
    <row r="766" ht="15.75" customHeight="1">
      <c r="A766" s="4"/>
      <c r="B766" s="4"/>
      <c r="C766" s="4"/>
      <c r="D766" s="4"/>
    </row>
    <row r="767" ht="15.75" customHeight="1">
      <c r="A767" s="4"/>
      <c r="B767" s="4"/>
      <c r="C767" s="4"/>
      <c r="D767" s="4"/>
    </row>
    <row r="768" ht="15.75" customHeight="1">
      <c r="A768" s="4"/>
      <c r="B768" s="4"/>
      <c r="C768" s="4"/>
      <c r="D768" s="4"/>
    </row>
    <row r="769" ht="15.75" customHeight="1">
      <c r="A769" s="4"/>
      <c r="B769" s="4"/>
      <c r="C769" s="4"/>
      <c r="D769" s="4"/>
    </row>
    <row r="770" ht="15.75" customHeight="1">
      <c r="A770" s="4"/>
      <c r="B770" s="4"/>
      <c r="C770" s="4"/>
      <c r="D770" s="4"/>
    </row>
    <row r="771" ht="15.75" customHeight="1">
      <c r="A771" s="4"/>
      <c r="B771" s="4"/>
      <c r="C771" s="4"/>
      <c r="D771" s="4"/>
    </row>
    <row r="772" ht="15.75" customHeight="1">
      <c r="A772" s="4"/>
      <c r="B772" s="4"/>
      <c r="C772" s="4"/>
      <c r="D772" s="4"/>
    </row>
    <row r="773" ht="15.75" customHeight="1">
      <c r="A773" s="4"/>
      <c r="B773" s="4"/>
      <c r="C773" s="4"/>
      <c r="D773" s="4"/>
    </row>
    <row r="774" ht="15.75" customHeight="1">
      <c r="A774" s="4"/>
      <c r="B774" s="4"/>
      <c r="C774" s="4"/>
      <c r="D774" s="4"/>
    </row>
    <row r="775" ht="15.75" customHeight="1">
      <c r="A775" s="4"/>
      <c r="B775" s="4"/>
      <c r="C775" s="4"/>
      <c r="D775" s="4"/>
    </row>
    <row r="776" ht="15.75" customHeight="1">
      <c r="A776" s="4"/>
      <c r="B776" s="4"/>
      <c r="C776" s="4"/>
      <c r="D776" s="4"/>
    </row>
    <row r="777" ht="15.75" customHeight="1">
      <c r="A777" s="4"/>
      <c r="B777" s="4"/>
      <c r="C777" s="4"/>
      <c r="D777" s="4"/>
    </row>
    <row r="778" ht="15.75" customHeight="1">
      <c r="A778" s="4"/>
      <c r="B778" s="4"/>
      <c r="C778" s="4"/>
      <c r="D778" s="4"/>
    </row>
    <row r="779" ht="15.75" customHeight="1">
      <c r="A779" s="4"/>
      <c r="B779" s="4"/>
      <c r="C779" s="4"/>
      <c r="D779" s="4"/>
    </row>
    <row r="780" ht="15.75" customHeight="1">
      <c r="A780" s="4"/>
      <c r="B780" s="4"/>
      <c r="C780" s="4"/>
      <c r="D780" s="4"/>
    </row>
    <row r="781" ht="15.75" customHeight="1">
      <c r="A781" s="4"/>
      <c r="B781" s="4"/>
      <c r="C781" s="4"/>
      <c r="D781" s="4"/>
    </row>
    <row r="782" ht="15.75" customHeight="1">
      <c r="A782" s="4"/>
      <c r="B782" s="4"/>
      <c r="C782" s="4"/>
      <c r="D782" s="4"/>
    </row>
    <row r="783" ht="15.75" customHeight="1">
      <c r="A783" s="4"/>
      <c r="B783" s="4"/>
      <c r="C783" s="4"/>
      <c r="D783" s="4"/>
    </row>
    <row r="784" ht="15.75" customHeight="1">
      <c r="A784" s="4"/>
      <c r="B784" s="4"/>
      <c r="C784" s="4"/>
      <c r="D784" s="4"/>
    </row>
    <row r="785" ht="15.75" customHeight="1">
      <c r="A785" s="4"/>
      <c r="B785" s="4"/>
      <c r="C785" s="4"/>
      <c r="D785" s="4"/>
    </row>
    <row r="786" ht="15.75" customHeight="1">
      <c r="A786" s="4"/>
      <c r="B786" s="4"/>
      <c r="C786" s="4"/>
      <c r="D786" s="4"/>
    </row>
    <row r="787" ht="15.75" customHeight="1">
      <c r="A787" s="4"/>
      <c r="B787" s="4"/>
      <c r="C787" s="4"/>
      <c r="D787" s="4"/>
    </row>
    <row r="788" ht="15.75" customHeight="1">
      <c r="A788" s="4"/>
      <c r="B788" s="4"/>
      <c r="C788" s="4"/>
      <c r="D788" s="4"/>
    </row>
    <row r="789" ht="15.75" customHeight="1">
      <c r="A789" s="4"/>
      <c r="B789" s="4"/>
      <c r="C789" s="4"/>
      <c r="D789" s="4"/>
    </row>
    <row r="790" ht="15.75" customHeight="1">
      <c r="A790" s="4"/>
      <c r="B790" s="4"/>
      <c r="C790" s="4"/>
      <c r="D790" s="4"/>
    </row>
    <row r="791" ht="15.75" customHeight="1">
      <c r="A791" s="4"/>
      <c r="B791" s="4"/>
      <c r="C791" s="4"/>
      <c r="D791" s="4"/>
    </row>
    <row r="792" ht="15.75" customHeight="1">
      <c r="A792" s="4"/>
      <c r="B792" s="4"/>
      <c r="C792" s="4"/>
      <c r="D792" s="4"/>
    </row>
    <row r="793" ht="15.75" customHeight="1">
      <c r="A793" s="4"/>
      <c r="B793" s="4"/>
      <c r="C793" s="4"/>
      <c r="D793" s="4"/>
    </row>
    <row r="794" ht="15.75" customHeight="1">
      <c r="A794" s="4"/>
      <c r="B794" s="4"/>
      <c r="C794" s="4"/>
      <c r="D794" s="4"/>
    </row>
    <row r="795" ht="15.75" customHeight="1">
      <c r="A795" s="4"/>
      <c r="B795" s="4"/>
      <c r="C795" s="4"/>
      <c r="D795" s="4"/>
    </row>
    <row r="796" ht="15.75" customHeight="1">
      <c r="A796" s="4"/>
      <c r="B796" s="4"/>
      <c r="C796" s="4"/>
      <c r="D796" s="4"/>
    </row>
    <row r="797" ht="15.75" customHeight="1">
      <c r="A797" s="4"/>
      <c r="B797" s="4"/>
      <c r="C797" s="4"/>
      <c r="D797" s="4"/>
    </row>
    <row r="798" ht="15.75" customHeight="1">
      <c r="A798" s="4"/>
      <c r="B798" s="4"/>
      <c r="C798" s="4"/>
      <c r="D798" s="4"/>
    </row>
    <row r="799" ht="15.75" customHeight="1">
      <c r="A799" s="4"/>
      <c r="B799" s="4"/>
      <c r="C799" s="4"/>
      <c r="D799" s="4"/>
    </row>
    <row r="800" ht="15.75" customHeight="1">
      <c r="A800" s="4"/>
      <c r="B800" s="4"/>
      <c r="C800" s="4"/>
      <c r="D800" s="4"/>
    </row>
    <row r="801" ht="15.75" customHeight="1">
      <c r="A801" s="4"/>
      <c r="B801" s="4"/>
      <c r="C801" s="4"/>
      <c r="D801" s="4"/>
    </row>
    <row r="802" ht="15.75" customHeight="1">
      <c r="A802" s="4"/>
      <c r="B802" s="4"/>
      <c r="C802" s="4"/>
      <c r="D802" s="4"/>
    </row>
    <row r="803" ht="15.75" customHeight="1">
      <c r="A803" s="4"/>
      <c r="B803" s="4"/>
      <c r="C803" s="4"/>
      <c r="D803" s="4"/>
    </row>
    <row r="804" ht="15.75" customHeight="1">
      <c r="A804" s="4"/>
      <c r="B804" s="4"/>
      <c r="C804" s="4"/>
      <c r="D804" s="4"/>
    </row>
    <row r="805" ht="15.75" customHeight="1">
      <c r="A805" s="4"/>
      <c r="B805" s="4"/>
      <c r="C805" s="4"/>
      <c r="D805" s="4"/>
    </row>
    <row r="806" ht="15.75" customHeight="1">
      <c r="A806" s="4"/>
      <c r="B806" s="4"/>
      <c r="C806" s="4"/>
      <c r="D806" s="4"/>
    </row>
    <row r="807" ht="15.75" customHeight="1">
      <c r="A807" s="4"/>
      <c r="B807" s="4"/>
      <c r="C807" s="4"/>
      <c r="D807" s="4"/>
    </row>
    <row r="808" ht="15.75" customHeight="1">
      <c r="A808" s="4"/>
      <c r="B808" s="4"/>
      <c r="C808" s="4"/>
      <c r="D808" s="4"/>
    </row>
    <row r="809" ht="15.75" customHeight="1">
      <c r="A809" s="4"/>
      <c r="B809" s="4"/>
      <c r="C809" s="4"/>
      <c r="D809" s="4"/>
    </row>
    <row r="810" ht="15.75" customHeight="1">
      <c r="A810" s="4"/>
      <c r="B810" s="4"/>
      <c r="C810" s="4"/>
      <c r="D810" s="4"/>
    </row>
    <row r="811" ht="15.75" customHeight="1">
      <c r="A811" s="4"/>
      <c r="B811" s="4"/>
      <c r="C811" s="4"/>
      <c r="D811" s="4"/>
    </row>
    <row r="812" ht="15.75" customHeight="1">
      <c r="A812" s="4"/>
      <c r="B812" s="4"/>
      <c r="C812" s="4"/>
      <c r="D812" s="4"/>
    </row>
    <row r="813" ht="15.75" customHeight="1">
      <c r="A813" s="4"/>
      <c r="B813" s="4"/>
      <c r="C813" s="4"/>
      <c r="D813" s="4"/>
    </row>
    <row r="814" ht="15.75" customHeight="1">
      <c r="A814" s="4"/>
      <c r="B814" s="4"/>
      <c r="C814" s="4"/>
      <c r="D814" s="4"/>
    </row>
    <row r="815" ht="15.75" customHeight="1">
      <c r="A815" s="4"/>
      <c r="B815" s="4"/>
      <c r="C815" s="4"/>
      <c r="D815" s="4"/>
    </row>
    <row r="816" ht="15.75" customHeight="1">
      <c r="A816" s="4"/>
      <c r="B816" s="4"/>
      <c r="C816" s="4"/>
      <c r="D816" s="4"/>
    </row>
    <row r="817" ht="15.75" customHeight="1">
      <c r="A817" s="4"/>
      <c r="B817" s="4"/>
      <c r="C817" s="4"/>
      <c r="D817" s="4"/>
    </row>
    <row r="818" ht="15.75" customHeight="1">
      <c r="A818" s="4"/>
      <c r="B818" s="4"/>
      <c r="C818" s="4"/>
      <c r="D818" s="4"/>
    </row>
    <row r="819" ht="15.75" customHeight="1">
      <c r="A819" s="4"/>
      <c r="B819" s="4"/>
      <c r="C819" s="4"/>
      <c r="D819" s="4"/>
    </row>
    <row r="820" ht="15.75" customHeight="1">
      <c r="A820" s="4"/>
      <c r="B820" s="4"/>
      <c r="C820" s="4"/>
      <c r="D820" s="4"/>
    </row>
    <row r="821" ht="15.75" customHeight="1">
      <c r="A821" s="4"/>
      <c r="B821" s="4"/>
      <c r="C821" s="4"/>
      <c r="D821" s="4"/>
    </row>
    <row r="822" ht="15.75" customHeight="1">
      <c r="A822" s="4"/>
      <c r="B822" s="4"/>
      <c r="C822" s="4"/>
      <c r="D822" s="4"/>
    </row>
    <row r="823" ht="15.75" customHeight="1">
      <c r="A823" s="4"/>
      <c r="B823" s="4"/>
      <c r="C823" s="4"/>
      <c r="D823" s="4"/>
    </row>
    <row r="824" ht="15.75" customHeight="1">
      <c r="A824" s="4"/>
      <c r="B824" s="4"/>
      <c r="C824" s="4"/>
      <c r="D824" s="4"/>
    </row>
    <row r="825" ht="15.75" customHeight="1">
      <c r="A825" s="4"/>
      <c r="B825" s="4"/>
      <c r="C825" s="4"/>
      <c r="D825" s="4"/>
    </row>
    <row r="826" ht="15.75" customHeight="1">
      <c r="A826" s="4"/>
      <c r="B826" s="4"/>
      <c r="C826" s="4"/>
      <c r="D826" s="4"/>
    </row>
    <row r="827" ht="15.75" customHeight="1">
      <c r="A827" s="4"/>
      <c r="B827" s="4"/>
      <c r="C827" s="4"/>
      <c r="D827" s="4"/>
    </row>
    <row r="828" ht="15.75" customHeight="1">
      <c r="A828" s="4"/>
      <c r="B828" s="4"/>
      <c r="C828" s="4"/>
      <c r="D828" s="4"/>
    </row>
    <row r="829" ht="15.75" customHeight="1">
      <c r="A829" s="4"/>
      <c r="B829" s="4"/>
      <c r="C829" s="4"/>
      <c r="D829" s="4"/>
    </row>
    <row r="830" ht="15.75" customHeight="1">
      <c r="A830" s="4"/>
      <c r="B830" s="4"/>
      <c r="C830" s="4"/>
      <c r="D830" s="4"/>
    </row>
    <row r="831" ht="15.75" customHeight="1">
      <c r="A831" s="4"/>
      <c r="B831" s="4"/>
      <c r="C831" s="4"/>
      <c r="D831" s="4"/>
    </row>
    <row r="832" ht="15.75" customHeight="1">
      <c r="A832" s="4"/>
      <c r="B832" s="4"/>
      <c r="C832" s="4"/>
      <c r="D832" s="4"/>
    </row>
    <row r="833" ht="15.75" customHeight="1">
      <c r="A833" s="4"/>
      <c r="B833" s="4"/>
      <c r="C833" s="4"/>
      <c r="D833" s="4"/>
    </row>
    <row r="834" ht="15.75" customHeight="1">
      <c r="A834" s="4"/>
      <c r="B834" s="4"/>
      <c r="C834" s="4"/>
      <c r="D834" s="4"/>
    </row>
    <row r="835" ht="15.75" customHeight="1">
      <c r="A835" s="4"/>
      <c r="B835" s="4"/>
      <c r="C835" s="4"/>
      <c r="D835" s="4"/>
    </row>
    <row r="836" ht="15.75" customHeight="1">
      <c r="A836" s="4"/>
      <c r="B836" s="4"/>
      <c r="C836" s="4"/>
      <c r="D836" s="4"/>
    </row>
    <row r="837" ht="15.75" customHeight="1">
      <c r="A837" s="4"/>
      <c r="B837" s="4"/>
      <c r="C837" s="4"/>
      <c r="D837" s="4"/>
    </row>
    <row r="838" ht="15.75" customHeight="1">
      <c r="A838" s="4"/>
      <c r="B838" s="4"/>
      <c r="C838" s="4"/>
      <c r="D838" s="4"/>
    </row>
    <row r="839" ht="15.75" customHeight="1">
      <c r="A839" s="4"/>
      <c r="B839" s="4"/>
      <c r="C839" s="4"/>
      <c r="D839" s="4"/>
    </row>
    <row r="840" ht="15.75" customHeight="1">
      <c r="A840" s="4"/>
      <c r="B840" s="4"/>
      <c r="C840" s="4"/>
      <c r="D840" s="4"/>
    </row>
    <row r="841" ht="15.75" customHeight="1">
      <c r="A841" s="4"/>
      <c r="B841" s="4"/>
      <c r="C841" s="4"/>
      <c r="D841" s="4"/>
    </row>
    <row r="842" ht="15.75" customHeight="1">
      <c r="A842" s="4"/>
      <c r="B842" s="4"/>
      <c r="C842" s="4"/>
      <c r="D842" s="4"/>
    </row>
    <row r="843" ht="15.75" customHeight="1">
      <c r="A843" s="4"/>
      <c r="B843" s="4"/>
      <c r="C843" s="4"/>
      <c r="D843" s="4"/>
    </row>
    <row r="844" ht="15.75" customHeight="1">
      <c r="A844" s="4"/>
      <c r="B844" s="4"/>
      <c r="C844" s="4"/>
      <c r="D844" s="4"/>
    </row>
    <row r="845" ht="15.75" customHeight="1">
      <c r="A845" s="4"/>
      <c r="B845" s="4"/>
      <c r="C845" s="4"/>
      <c r="D845" s="4"/>
    </row>
    <row r="846" ht="15.75" customHeight="1">
      <c r="A846" s="4"/>
      <c r="B846" s="4"/>
      <c r="C846" s="4"/>
      <c r="D846" s="4"/>
    </row>
    <row r="847" ht="15.75" customHeight="1">
      <c r="A847" s="4"/>
      <c r="B847" s="4"/>
      <c r="C847" s="4"/>
      <c r="D847" s="4"/>
    </row>
    <row r="848" ht="15.75" customHeight="1">
      <c r="A848" s="4"/>
      <c r="B848" s="4"/>
      <c r="C848" s="4"/>
      <c r="D848" s="4"/>
    </row>
    <row r="849" ht="15.75" customHeight="1">
      <c r="A849" s="4"/>
      <c r="B849" s="4"/>
      <c r="C849" s="4"/>
      <c r="D849" s="4"/>
    </row>
    <row r="850" ht="15.75" customHeight="1">
      <c r="A850" s="4"/>
      <c r="B850" s="4"/>
      <c r="C850" s="4"/>
      <c r="D850" s="4"/>
    </row>
    <row r="851" ht="15.75" customHeight="1">
      <c r="A851" s="4"/>
      <c r="B851" s="4"/>
      <c r="C851" s="4"/>
      <c r="D851" s="4"/>
    </row>
    <row r="852" ht="15.75" customHeight="1">
      <c r="A852" s="4"/>
      <c r="B852" s="4"/>
      <c r="C852" s="4"/>
      <c r="D852" s="4"/>
    </row>
    <row r="853" ht="15.75" customHeight="1">
      <c r="A853" s="4"/>
      <c r="B853" s="4"/>
      <c r="C853" s="4"/>
      <c r="D853" s="4"/>
    </row>
    <row r="854" ht="15.75" customHeight="1">
      <c r="A854" s="4"/>
      <c r="B854" s="4"/>
      <c r="C854" s="4"/>
      <c r="D854" s="4"/>
    </row>
    <row r="855" ht="15.75" customHeight="1">
      <c r="A855" s="4"/>
      <c r="B855" s="4"/>
      <c r="C855" s="4"/>
      <c r="D855" s="4"/>
    </row>
    <row r="856" ht="15.75" customHeight="1">
      <c r="A856" s="4"/>
      <c r="B856" s="4"/>
      <c r="C856" s="4"/>
      <c r="D856" s="4"/>
    </row>
    <row r="857" ht="15.75" customHeight="1">
      <c r="A857" s="4"/>
      <c r="B857" s="4"/>
      <c r="C857" s="4"/>
      <c r="D857" s="4"/>
    </row>
    <row r="858" ht="15.75" customHeight="1">
      <c r="A858" s="4"/>
      <c r="B858" s="4"/>
      <c r="C858" s="4"/>
      <c r="D858" s="4"/>
    </row>
    <row r="859" ht="15.75" customHeight="1">
      <c r="A859" s="4"/>
      <c r="B859" s="4"/>
      <c r="C859" s="4"/>
      <c r="D859" s="4"/>
    </row>
    <row r="860" ht="15.75" customHeight="1">
      <c r="A860" s="4"/>
      <c r="B860" s="4"/>
      <c r="C860" s="4"/>
      <c r="D860" s="4"/>
    </row>
    <row r="861" ht="15.75" customHeight="1">
      <c r="A861" s="4"/>
      <c r="B861" s="4"/>
      <c r="C861" s="4"/>
      <c r="D861" s="4"/>
    </row>
    <row r="862" ht="15.75" customHeight="1">
      <c r="A862" s="4"/>
      <c r="B862" s="4"/>
      <c r="C862" s="4"/>
      <c r="D862" s="4"/>
    </row>
    <row r="863" ht="15.75" customHeight="1">
      <c r="A863" s="4"/>
      <c r="B863" s="4"/>
      <c r="C863" s="4"/>
      <c r="D863" s="4"/>
    </row>
    <row r="864" ht="15.75" customHeight="1">
      <c r="A864" s="4"/>
      <c r="B864" s="4"/>
      <c r="C864" s="4"/>
      <c r="D864" s="4"/>
    </row>
    <row r="865" ht="15.75" customHeight="1">
      <c r="A865" s="4"/>
      <c r="B865" s="4"/>
      <c r="C865" s="4"/>
      <c r="D865" s="4"/>
    </row>
    <row r="866" ht="15.75" customHeight="1">
      <c r="A866" s="4"/>
      <c r="B866" s="4"/>
      <c r="C866" s="4"/>
      <c r="D866" s="4"/>
    </row>
    <row r="867" ht="15.75" customHeight="1">
      <c r="A867" s="4"/>
      <c r="B867" s="4"/>
      <c r="C867" s="4"/>
      <c r="D867" s="4"/>
    </row>
    <row r="868" ht="15.75" customHeight="1">
      <c r="A868" s="4"/>
      <c r="B868" s="4"/>
      <c r="C868" s="4"/>
      <c r="D868" s="4"/>
    </row>
    <row r="869" ht="15.75" customHeight="1">
      <c r="A869" s="4"/>
      <c r="B869" s="4"/>
      <c r="C869" s="4"/>
      <c r="D869" s="4"/>
    </row>
    <row r="870" ht="15.75" customHeight="1">
      <c r="A870" s="4"/>
      <c r="B870" s="4"/>
      <c r="C870" s="4"/>
      <c r="D870" s="4"/>
    </row>
    <row r="871" ht="15.75" customHeight="1">
      <c r="A871" s="4"/>
      <c r="B871" s="4"/>
      <c r="C871" s="4"/>
      <c r="D871" s="4"/>
    </row>
    <row r="872" ht="15.75" customHeight="1">
      <c r="A872" s="4"/>
      <c r="B872" s="4"/>
      <c r="C872" s="4"/>
      <c r="D872" s="4"/>
    </row>
    <row r="873" ht="15.75" customHeight="1">
      <c r="A873" s="4"/>
      <c r="B873" s="4"/>
      <c r="C873" s="4"/>
      <c r="D873" s="4"/>
    </row>
    <row r="874" ht="15.75" customHeight="1">
      <c r="A874" s="4"/>
      <c r="B874" s="4"/>
      <c r="C874" s="4"/>
      <c r="D874" s="4"/>
    </row>
    <row r="875" ht="15.75" customHeight="1">
      <c r="A875" s="4"/>
      <c r="B875" s="4"/>
      <c r="C875" s="4"/>
      <c r="D875" s="4"/>
    </row>
    <row r="876" ht="15.75" customHeight="1">
      <c r="A876" s="4"/>
      <c r="B876" s="4"/>
      <c r="C876" s="4"/>
      <c r="D876" s="4"/>
    </row>
    <row r="877" ht="15.75" customHeight="1">
      <c r="A877" s="4"/>
      <c r="B877" s="4"/>
      <c r="C877" s="4"/>
      <c r="D877" s="4"/>
    </row>
    <row r="878" ht="15.75" customHeight="1">
      <c r="A878" s="4"/>
      <c r="B878" s="4"/>
      <c r="C878" s="4"/>
      <c r="D878" s="4"/>
    </row>
    <row r="879" ht="15.75" customHeight="1">
      <c r="A879" s="4"/>
      <c r="B879" s="4"/>
      <c r="C879" s="4"/>
      <c r="D879" s="4"/>
    </row>
    <row r="880" ht="15.75" customHeight="1">
      <c r="A880" s="4"/>
      <c r="B880" s="4"/>
      <c r="C880" s="4"/>
      <c r="D880" s="4"/>
    </row>
    <row r="881" ht="15.75" customHeight="1">
      <c r="A881" s="4"/>
      <c r="B881" s="4"/>
      <c r="C881" s="4"/>
      <c r="D881" s="4"/>
    </row>
    <row r="882" ht="15.75" customHeight="1">
      <c r="A882" s="4"/>
      <c r="B882" s="4"/>
      <c r="C882" s="4"/>
      <c r="D882" s="4"/>
    </row>
    <row r="883" ht="15.75" customHeight="1">
      <c r="A883" s="4"/>
      <c r="B883" s="4"/>
      <c r="C883" s="4"/>
      <c r="D883" s="4"/>
    </row>
    <row r="884" ht="15.75" customHeight="1">
      <c r="A884" s="4"/>
      <c r="B884" s="4"/>
      <c r="C884" s="4"/>
      <c r="D884" s="4"/>
    </row>
    <row r="885" ht="15.75" customHeight="1">
      <c r="A885" s="4"/>
      <c r="B885" s="4"/>
      <c r="C885" s="4"/>
      <c r="D885" s="4"/>
    </row>
    <row r="886" ht="15.75" customHeight="1">
      <c r="A886" s="4"/>
      <c r="B886" s="4"/>
      <c r="C886" s="4"/>
      <c r="D886" s="4"/>
    </row>
    <row r="887" ht="15.75" customHeight="1">
      <c r="A887" s="4"/>
      <c r="B887" s="4"/>
      <c r="C887" s="4"/>
      <c r="D887" s="4"/>
    </row>
    <row r="888" ht="15.75" customHeight="1">
      <c r="A888" s="4"/>
      <c r="B888" s="4"/>
      <c r="C888" s="4"/>
      <c r="D888" s="4"/>
    </row>
    <row r="889" ht="15.75" customHeight="1">
      <c r="A889" s="4"/>
      <c r="B889" s="4"/>
      <c r="C889" s="4"/>
      <c r="D889" s="4"/>
    </row>
    <row r="890" ht="15.75" customHeight="1">
      <c r="A890" s="4"/>
      <c r="B890" s="4"/>
      <c r="C890" s="4"/>
      <c r="D890" s="4"/>
    </row>
    <row r="891" ht="15.75" customHeight="1">
      <c r="A891" s="4"/>
      <c r="B891" s="4"/>
      <c r="C891" s="4"/>
      <c r="D891" s="4"/>
    </row>
    <row r="892" ht="15.75" customHeight="1">
      <c r="A892" s="4"/>
      <c r="B892" s="4"/>
      <c r="C892" s="4"/>
      <c r="D892" s="4"/>
    </row>
    <row r="893" ht="15.75" customHeight="1">
      <c r="A893" s="4"/>
      <c r="B893" s="4"/>
      <c r="C893" s="4"/>
      <c r="D893" s="4"/>
    </row>
    <row r="894" ht="15.75" customHeight="1">
      <c r="A894" s="4"/>
      <c r="B894" s="4"/>
      <c r="C894" s="4"/>
      <c r="D894" s="4"/>
    </row>
    <row r="895" ht="15.75" customHeight="1">
      <c r="A895" s="4"/>
      <c r="B895" s="4"/>
      <c r="C895" s="4"/>
      <c r="D895" s="4"/>
    </row>
    <row r="896" ht="15.75" customHeight="1">
      <c r="A896" s="4"/>
      <c r="B896" s="4"/>
      <c r="C896" s="4"/>
      <c r="D896" s="4"/>
    </row>
    <row r="897" ht="15.75" customHeight="1">
      <c r="A897" s="4"/>
      <c r="B897" s="4"/>
      <c r="C897" s="4"/>
      <c r="D897" s="4"/>
    </row>
    <row r="898" ht="15.75" customHeight="1">
      <c r="A898" s="4"/>
      <c r="B898" s="4"/>
      <c r="C898" s="4"/>
      <c r="D898" s="4"/>
    </row>
    <row r="899" ht="15.75" customHeight="1">
      <c r="A899" s="4"/>
      <c r="B899" s="4"/>
      <c r="C899" s="4"/>
      <c r="D899" s="4"/>
    </row>
    <row r="900" ht="15.75" customHeight="1">
      <c r="A900" s="4"/>
      <c r="B900" s="4"/>
      <c r="C900" s="4"/>
      <c r="D900" s="4"/>
    </row>
    <row r="901" ht="15.75" customHeight="1">
      <c r="A901" s="4"/>
      <c r="B901" s="4"/>
      <c r="C901" s="4"/>
      <c r="D901" s="4"/>
    </row>
    <row r="902" ht="15.75" customHeight="1">
      <c r="A902" s="4"/>
      <c r="B902" s="4"/>
      <c r="C902" s="4"/>
      <c r="D902" s="4"/>
    </row>
    <row r="903" ht="15.75" customHeight="1">
      <c r="A903" s="4"/>
      <c r="B903" s="4"/>
      <c r="C903" s="4"/>
      <c r="D903" s="4"/>
    </row>
    <row r="904" ht="15.75" customHeight="1">
      <c r="A904" s="4"/>
      <c r="B904" s="4"/>
      <c r="C904" s="4"/>
      <c r="D904" s="4"/>
    </row>
    <row r="905" ht="15.75" customHeight="1">
      <c r="A905" s="4"/>
      <c r="B905" s="4"/>
      <c r="C905" s="4"/>
      <c r="D905" s="4"/>
    </row>
    <row r="906" ht="15.75" customHeight="1">
      <c r="A906" s="4"/>
      <c r="B906" s="4"/>
      <c r="C906" s="4"/>
      <c r="D906" s="4"/>
    </row>
    <row r="907" ht="15.75" customHeight="1">
      <c r="A907" s="4"/>
      <c r="B907" s="4"/>
      <c r="C907" s="4"/>
      <c r="D907" s="4"/>
    </row>
    <row r="908" ht="15.75" customHeight="1">
      <c r="A908" s="4"/>
      <c r="B908" s="4"/>
      <c r="C908" s="4"/>
      <c r="D908" s="4"/>
    </row>
    <row r="909" ht="15.75" customHeight="1">
      <c r="A909" s="4"/>
      <c r="B909" s="4"/>
      <c r="C909" s="4"/>
      <c r="D909" s="4"/>
    </row>
    <row r="910" ht="15.75" customHeight="1">
      <c r="A910" s="4"/>
      <c r="B910" s="4"/>
      <c r="C910" s="4"/>
      <c r="D910" s="4"/>
    </row>
    <row r="911" ht="15.75" customHeight="1">
      <c r="A911" s="4"/>
      <c r="B911" s="4"/>
      <c r="C911" s="4"/>
      <c r="D911" s="4"/>
    </row>
    <row r="912" ht="15.75" customHeight="1">
      <c r="A912" s="4"/>
      <c r="B912" s="4"/>
      <c r="C912" s="4"/>
      <c r="D912" s="4"/>
    </row>
    <row r="913" ht="15.75" customHeight="1">
      <c r="A913" s="4"/>
      <c r="B913" s="4"/>
      <c r="C913" s="4"/>
      <c r="D913" s="4"/>
    </row>
    <row r="914" ht="15.75" customHeight="1">
      <c r="A914" s="4"/>
      <c r="B914" s="4"/>
      <c r="C914" s="4"/>
      <c r="D914" s="4"/>
    </row>
    <row r="915" ht="15.75" customHeight="1">
      <c r="A915" s="4"/>
      <c r="B915" s="4"/>
      <c r="C915" s="4"/>
      <c r="D915" s="4"/>
    </row>
    <row r="916" ht="15.75" customHeight="1">
      <c r="A916" s="4"/>
      <c r="B916" s="4"/>
      <c r="C916" s="4"/>
      <c r="D916" s="4"/>
    </row>
    <row r="917" ht="15.75" customHeight="1">
      <c r="A917" s="4"/>
      <c r="B917" s="4"/>
      <c r="C917" s="4"/>
      <c r="D917" s="4"/>
    </row>
    <row r="918" ht="15.75" customHeight="1">
      <c r="A918" s="4"/>
      <c r="B918" s="4"/>
      <c r="C918" s="4"/>
      <c r="D918" s="4"/>
    </row>
    <row r="919" ht="15.75" customHeight="1">
      <c r="A919" s="4"/>
      <c r="B919" s="4"/>
      <c r="C919" s="4"/>
      <c r="D919" s="4"/>
    </row>
    <row r="920" ht="15.75" customHeight="1">
      <c r="A920" s="4"/>
      <c r="B920" s="4"/>
      <c r="C920" s="4"/>
      <c r="D920" s="4"/>
    </row>
    <row r="921" ht="15.75" customHeight="1">
      <c r="A921" s="4"/>
      <c r="B921" s="4"/>
      <c r="C921" s="4"/>
      <c r="D921" s="4"/>
    </row>
    <row r="922" ht="15.75" customHeight="1">
      <c r="A922" s="4"/>
      <c r="B922" s="4"/>
      <c r="C922" s="4"/>
      <c r="D922" s="4"/>
    </row>
    <row r="923" ht="15.75" customHeight="1">
      <c r="A923" s="4"/>
      <c r="B923" s="4"/>
      <c r="C923" s="4"/>
      <c r="D923" s="4"/>
    </row>
    <row r="924" ht="15.75" customHeight="1">
      <c r="A924" s="4"/>
      <c r="B924" s="4"/>
      <c r="C924" s="4"/>
      <c r="D924" s="4"/>
    </row>
    <row r="925" ht="15.75" customHeight="1">
      <c r="A925" s="4"/>
      <c r="B925" s="4"/>
      <c r="C925" s="4"/>
      <c r="D925" s="4"/>
    </row>
    <row r="926" ht="15.75" customHeight="1">
      <c r="A926" s="4"/>
      <c r="B926" s="4"/>
      <c r="C926" s="4"/>
      <c r="D926" s="4"/>
    </row>
    <row r="927" ht="15.75" customHeight="1">
      <c r="A927" s="4"/>
      <c r="B927" s="4"/>
      <c r="C927" s="4"/>
      <c r="D927" s="4"/>
    </row>
    <row r="928" ht="15.75" customHeight="1">
      <c r="A928" s="4"/>
      <c r="B928" s="4"/>
      <c r="C928" s="4"/>
      <c r="D928" s="4"/>
    </row>
    <row r="929" ht="15.75" customHeight="1">
      <c r="A929" s="4"/>
      <c r="B929" s="4"/>
      <c r="C929" s="4"/>
      <c r="D929" s="4"/>
    </row>
    <row r="930" ht="15.75" customHeight="1">
      <c r="A930" s="4"/>
      <c r="B930" s="4"/>
      <c r="C930" s="4"/>
      <c r="D930" s="4"/>
    </row>
    <row r="931" ht="15.75" customHeight="1">
      <c r="A931" s="4"/>
      <c r="B931" s="4"/>
      <c r="C931" s="4"/>
      <c r="D931" s="4"/>
    </row>
    <row r="932" ht="15.75" customHeight="1">
      <c r="A932" s="4"/>
      <c r="B932" s="4"/>
      <c r="C932" s="4"/>
      <c r="D932" s="4"/>
    </row>
    <row r="933" ht="15.75" customHeight="1">
      <c r="A933" s="4"/>
      <c r="B933" s="4"/>
      <c r="C933" s="4"/>
      <c r="D933" s="4"/>
    </row>
    <row r="934" ht="15.75" customHeight="1">
      <c r="A934" s="4"/>
      <c r="B934" s="4"/>
      <c r="C934" s="4"/>
      <c r="D934" s="4"/>
    </row>
    <row r="935" ht="15.75" customHeight="1">
      <c r="A935" s="4"/>
      <c r="B935" s="4"/>
      <c r="C935" s="4"/>
      <c r="D935" s="4"/>
    </row>
    <row r="936" ht="15.75" customHeight="1">
      <c r="A936" s="4"/>
      <c r="B936" s="4"/>
      <c r="C936" s="4"/>
      <c r="D936" s="4"/>
    </row>
    <row r="937" ht="15.75" customHeight="1">
      <c r="A937" s="4"/>
      <c r="B937" s="4"/>
      <c r="C937" s="4"/>
      <c r="D937" s="4"/>
    </row>
    <row r="938" ht="15.75" customHeight="1">
      <c r="A938" s="4"/>
      <c r="B938" s="4"/>
      <c r="C938" s="4"/>
      <c r="D938" s="4"/>
    </row>
    <row r="939" ht="15.75" customHeight="1">
      <c r="A939" s="4"/>
      <c r="B939" s="4"/>
      <c r="C939" s="4"/>
      <c r="D939" s="4"/>
    </row>
    <row r="940" ht="15.75" customHeight="1">
      <c r="A940" s="4"/>
      <c r="B940" s="4"/>
      <c r="C940" s="4"/>
      <c r="D940" s="4"/>
    </row>
    <row r="941" ht="15.75" customHeight="1">
      <c r="A941" s="4"/>
      <c r="B941" s="4"/>
      <c r="C941" s="4"/>
      <c r="D941" s="4"/>
    </row>
    <row r="942" ht="15.75" customHeight="1">
      <c r="A942" s="4"/>
      <c r="B942" s="4"/>
      <c r="C942" s="4"/>
      <c r="D942" s="4"/>
    </row>
    <row r="943" ht="15.75" customHeight="1">
      <c r="A943" s="4"/>
      <c r="B943" s="4"/>
      <c r="C943" s="4"/>
      <c r="D943" s="4"/>
    </row>
    <row r="944" ht="15.75" customHeight="1">
      <c r="A944" s="4"/>
      <c r="B944" s="4"/>
      <c r="C944" s="4"/>
      <c r="D944" s="4"/>
    </row>
    <row r="945" ht="15.75" customHeight="1">
      <c r="A945" s="4"/>
      <c r="B945" s="4"/>
      <c r="C945" s="4"/>
      <c r="D945" s="4"/>
    </row>
    <row r="946" ht="15.75" customHeight="1">
      <c r="A946" s="4"/>
      <c r="B946" s="4"/>
      <c r="C946" s="4"/>
      <c r="D946" s="4"/>
    </row>
    <row r="947" ht="15.75" customHeight="1">
      <c r="A947" s="4"/>
      <c r="B947" s="4"/>
      <c r="C947" s="4"/>
      <c r="D947" s="4"/>
    </row>
    <row r="948" ht="15.75" customHeight="1">
      <c r="A948" s="4"/>
      <c r="B948" s="4"/>
      <c r="C948" s="4"/>
      <c r="D948" s="4"/>
    </row>
    <row r="949" ht="15.75" customHeight="1">
      <c r="A949" s="4"/>
      <c r="B949" s="4"/>
      <c r="C949" s="4"/>
      <c r="D949" s="4"/>
    </row>
    <row r="950" ht="15.75" customHeight="1">
      <c r="A950" s="4"/>
      <c r="B950" s="4"/>
      <c r="C950" s="4"/>
      <c r="D950" s="4"/>
    </row>
    <row r="951" ht="15.75" customHeight="1">
      <c r="A951" s="4"/>
      <c r="B951" s="4"/>
      <c r="C951" s="4"/>
      <c r="D951" s="4"/>
    </row>
    <row r="952" ht="15.75" customHeight="1">
      <c r="A952" s="4"/>
      <c r="B952" s="4"/>
      <c r="C952" s="4"/>
      <c r="D952" s="4"/>
    </row>
    <row r="953" ht="15.75" customHeight="1">
      <c r="A953" s="4"/>
      <c r="B953" s="4"/>
      <c r="C953" s="4"/>
      <c r="D953" s="4"/>
    </row>
    <row r="954" ht="15.75" customHeight="1">
      <c r="A954" s="4"/>
      <c r="B954" s="4"/>
      <c r="C954" s="4"/>
      <c r="D954" s="4"/>
    </row>
    <row r="955" ht="15.75" customHeight="1">
      <c r="A955" s="4"/>
      <c r="B955" s="4"/>
      <c r="C955" s="4"/>
      <c r="D955" s="4"/>
    </row>
    <row r="956" ht="15.75" customHeight="1">
      <c r="A956" s="4"/>
      <c r="B956" s="4"/>
      <c r="C956" s="4"/>
      <c r="D956" s="4"/>
    </row>
    <row r="957" ht="15.75" customHeight="1">
      <c r="A957" s="4"/>
      <c r="B957" s="4"/>
      <c r="C957" s="4"/>
      <c r="D957" s="4"/>
    </row>
    <row r="958" ht="15.75" customHeight="1">
      <c r="A958" s="4"/>
      <c r="B958" s="4"/>
      <c r="C958" s="4"/>
      <c r="D958" s="4"/>
    </row>
    <row r="959" ht="15.75" customHeight="1">
      <c r="A959" s="4"/>
      <c r="B959" s="4"/>
      <c r="C959" s="4"/>
      <c r="D959" s="4"/>
    </row>
    <row r="960" ht="15.75" customHeight="1">
      <c r="A960" s="4"/>
      <c r="B960" s="4"/>
      <c r="C960" s="4"/>
      <c r="D960" s="4"/>
    </row>
    <row r="961" ht="15.75" customHeight="1">
      <c r="A961" s="4"/>
      <c r="B961" s="4"/>
      <c r="C961" s="4"/>
      <c r="D961" s="4"/>
    </row>
    <row r="962" ht="15.75" customHeight="1">
      <c r="A962" s="4"/>
      <c r="B962" s="4"/>
      <c r="C962" s="4"/>
      <c r="D962" s="4"/>
    </row>
    <row r="963" ht="15.75" customHeight="1">
      <c r="A963" s="4"/>
      <c r="B963" s="4"/>
      <c r="C963" s="4"/>
      <c r="D963" s="4"/>
    </row>
    <row r="964" ht="15.75" customHeight="1">
      <c r="A964" s="4"/>
      <c r="B964" s="4"/>
      <c r="C964" s="4"/>
      <c r="D964" s="4"/>
    </row>
    <row r="965" ht="15.75" customHeight="1">
      <c r="A965" s="4"/>
      <c r="B965" s="4"/>
      <c r="C965" s="4"/>
      <c r="D965" s="4"/>
    </row>
    <row r="966" ht="15.75" customHeight="1">
      <c r="A966" s="4"/>
      <c r="B966" s="4"/>
      <c r="C966" s="4"/>
      <c r="D966" s="4"/>
    </row>
    <row r="967" ht="15.75" customHeight="1">
      <c r="A967" s="4"/>
      <c r="B967" s="4"/>
      <c r="C967" s="4"/>
      <c r="D967" s="4"/>
    </row>
    <row r="968" ht="15.75" customHeight="1">
      <c r="A968" s="4"/>
      <c r="B968" s="4"/>
      <c r="C968" s="4"/>
      <c r="D968" s="4"/>
    </row>
    <row r="969" ht="15.75" customHeight="1">
      <c r="A969" s="4"/>
      <c r="B969" s="4"/>
      <c r="C969" s="4"/>
      <c r="D969" s="4"/>
    </row>
    <row r="970" ht="15.75" customHeight="1">
      <c r="A970" s="4"/>
      <c r="B970" s="4"/>
      <c r="C970" s="4"/>
      <c r="D970" s="4"/>
    </row>
    <row r="971" ht="15.75" customHeight="1">
      <c r="A971" s="4"/>
      <c r="B971" s="4"/>
      <c r="C971" s="4"/>
      <c r="D971" s="4"/>
    </row>
    <row r="972" ht="15.75" customHeight="1">
      <c r="A972" s="4"/>
      <c r="B972" s="4"/>
      <c r="C972" s="4"/>
      <c r="D972" s="4"/>
    </row>
    <row r="973" ht="15.75" customHeight="1">
      <c r="A973" s="4"/>
      <c r="B973" s="4"/>
      <c r="C973" s="4"/>
      <c r="D973" s="4"/>
    </row>
    <row r="974" ht="15.75" customHeight="1">
      <c r="A974" s="4"/>
      <c r="B974" s="4"/>
      <c r="C974" s="4"/>
      <c r="D974" s="4"/>
    </row>
    <row r="975" ht="15.75" customHeight="1">
      <c r="A975" s="4"/>
      <c r="B975" s="4"/>
      <c r="C975" s="4"/>
      <c r="D975" s="4"/>
    </row>
    <row r="976" ht="15.75" customHeight="1">
      <c r="A976" s="4"/>
      <c r="B976" s="4"/>
      <c r="C976" s="4"/>
      <c r="D976" s="4"/>
    </row>
    <row r="977" ht="15.75" customHeight="1">
      <c r="A977" s="4"/>
      <c r="B977" s="4"/>
      <c r="C977" s="4"/>
      <c r="D977" s="4"/>
    </row>
    <row r="978" ht="15.75" customHeight="1">
      <c r="A978" s="4"/>
      <c r="B978" s="4"/>
      <c r="C978" s="4"/>
      <c r="D978" s="4"/>
    </row>
    <row r="979" ht="15.75" customHeight="1">
      <c r="A979" s="4"/>
      <c r="B979" s="4"/>
      <c r="C979" s="4"/>
      <c r="D979" s="4"/>
    </row>
    <row r="980" ht="15.75" customHeight="1">
      <c r="A980" s="4"/>
      <c r="B980" s="4"/>
      <c r="C980" s="4"/>
      <c r="D980" s="4"/>
    </row>
    <row r="981" ht="15.75" customHeight="1">
      <c r="A981" s="4"/>
      <c r="B981" s="4"/>
      <c r="C981" s="4"/>
      <c r="D981" s="4"/>
    </row>
    <row r="982" ht="15.75" customHeight="1">
      <c r="A982" s="4"/>
      <c r="B982" s="4"/>
      <c r="C982" s="4"/>
      <c r="D982" s="4"/>
    </row>
    <row r="983" ht="15.75" customHeight="1">
      <c r="A983" s="4"/>
      <c r="B983" s="4"/>
      <c r="C983" s="4"/>
      <c r="D983" s="4"/>
    </row>
    <row r="984" ht="15.75" customHeight="1">
      <c r="A984" s="4"/>
      <c r="B984" s="4"/>
      <c r="C984" s="4"/>
      <c r="D984" s="4"/>
    </row>
    <row r="985" ht="15.75" customHeight="1">
      <c r="A985" s="4"/>
      <c r="B985" s="4"/>
      <c r="C985" s="4"/>
      <c r="D985" s="4"/>
    </row>
    <row r="986" ht="15.75" customHeight="1">
      <c r="A986" s="4"/>
      <c r="B986" s="4"/>
      <c r="C986" s="4"/>
      <c r="D986" s="4"/>
    </row>
    <row r="987" ht="15.75" customHeight="1">
      <c r="A987" s="4"/>
      <c r="B987" s="4"/>
      <c r="C987" s="4"/>
      <c r="D987" s="4"/>
    </row>
    <row r="988" ht="15.75" customHeight="1">
      <c r="A988" s="4"/>
      <c r="B988" s="4"/>
      <c r="C988" s="4"/>
      <c r="D988" s="4"/>
    </row>
    <row r="989" ht="15.75" customHeight="1">
      <c r="A989" s="4"/>
      <c r="B989" s="4"/>
      <c r="C989" s="4"/>
      <c r="D989" s="4"/>
    </row>
    <row r="990" ht="15.75" customHeight="1">
      <c r="A990" s="4"/>
      <c r="B990" s="4"/>
      <c r="C990" s="4"/>
      <c r="D990" s="4"/>
    </row>
    <row r="991" ht="15.75" customHeight="1">
      <c r="A991" s="4"/>
      <c r="B991" s="4"/>
      <c r="C991" s="4"/>
      <c r="D991" s="4"/>
    </row>
    <row r="992" ht="15.75" customHeight="1">
      <c r="A992" s="4"/>
      <c r="B992" s="4"/>
      <c r="C992" s="4"/>
      <c r="D992" s="4"/>
    </row>
    <row r="993" ht="15.75" customHeight="1">
      <c r="A993" s="4"/>
      <c r="B993" s="4"/>
      <c r="C993" s="4"/>
      <c r="D993" s="4"/>
    </row>
    <row r="994" ht="15.75" customHeight="1">
      <c r="A994" s="4"/>
      <c r="B994" s="4"/>
      <c r="C994" s="4"/>
      <c r="D994" s="4"/>
    </row>
    <row r="995" ht="15.75" customHeight="1">
      <c r="A995" s="4"/>
      <c r="B995" s="4"/>
      <c r="C995" s="4"/>
      <c r="D995" s="4"/>
    </row>
    <row r="996" ht="15.75" customHeight="1">
      <c r="A996" s="4"/>
      <c r="B996" s="4"/>
      <c r="C996" s="4"/>
      <c r="D996" s="4"/>
    </row>
    <row r="997" ht="15.75" customHeight="1">
      <c r="A997" s="4"/>
      <c r="B997" s="4"/>
      <c r="C997" s="4"/>
      <c r="D997" s="4"/>
    </row>
    <row r="998" ht="15.75" customHeight="1">
      <c r="A998" s="4"/>
      <c r="B998" s="4"/>
      <c r="C998" s="4"/>
      <c r="D998" s="4"/>
    </row>
    <row r="999" ht="15.75" customHeight="1">
      <c r="A999" s="4"/>
      <c r="B999" s="4"/>
      <c r="C999" s="4"/>
      <c r="D999" s="4"/>
    </row>
    <row r="1000" ht="15.75" customHeight="1">
      <c r="A1000" s="4"/>
      <c r="B1000" s="4"/>
      <c r="C1000" s="4"/>
      <c r="D1000" s="4"/>
    </row>
  </sheetData>
  <mergeCells count="34">
    <mergeCell ref="A1:D1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30:D30"/>
    <mergeCell ref="B31:D31"/>
    <mergeCell ref="B32:D32"/>
    <mergeCell ref="B33:D33"/>
    <mergeCell ref="B34:D34"/>
    <mergeCell ref="B35:D35"/>
    <mergeCell ref="B23:D23"/>
    <mergeCell ref="B24:D24"/>
    <mergeCell ref="B25:D25"/>
    <mergeCell ref="B26:D26"/>
    <mergeCell ref="B27:D27"/>
    <mergeCell ref="B28:D28"/>
    <mergeCell ref="B29:D2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0"/>
    <col customWidth="1" min="2" max="2" width="30.0"/>
    <col customWidth="1" min="3" max="3" width="12.0"/>
    <col customWidth="1" min="4" max="4" width="14.0"/>
    <col customWidth="1" min="5" max="5" width="13.0"/>
    <col customWidth="1" min="6" max="6" width="9.0"/>
    <col customWidth="1" min="7" max="7" width="14.0"/>
    <col customWidth="1" min="8" max="8" width="8.0"/>
    <col customWidth="1" min="9" max="9" width="16.0"/>
    <col customWidth="1" min="10" max="10" width="40.0"/>
    <col customWidth="1" min="11" max="26" width="8.71"/>
  </cols>
  <sheetData>
    <row r="1" ht="30.0" customHeight="1">
      <c r="A1" s="1" t="s">
        <v>51</v>
      </c>
      <c r="B1" s="2"/>
      <c r="C1" s="2"/>
      <c r="D1" s="2"/>
      <c r="E1" s="2"/>
      <c r="F1" s="2"/>
      <c r="G1" s="2"/>
      <c r="H1" s="2"/>
      <c r="I1" s="2"/>
      <c r="J1" s="3"/>
    </row>
    <row r="2" ht="15.0" customHeight="1">
      <c r="A2" s="7" t="s">
        <v>52</v>
      </c>
    </row>
    <row r="3" ht="26.25" customHeight="1">
      <c r="A3" s="8" t="s">
        <v>53</v>
      </c>
      <c r="B3" s="8" t="s">
        <v>54</v>
      </c>
      <c r="C3" s="8" t="s">
        <v>55</v>
      </c>
      <c r="D3" s="8" t="s">
        <v>56</v>
      </c>
      <c r="E3" s="8" t="s">
        <v>57</v>
      </c>
      <c r="F3" s="8" t="s">
        <v>58</v>
      </c>
      <c r="G3" s="8" t="s">
        <v>59</v>
      </c>
      <c r="H3" s="8" t="s">
        <v>60</v>
      </c>
      <c r="I3" s="8" t="s">
        <v>61</v>
      </c>
      <c r="J3" s="8" t="s">
        <v>62</v>
      </c>
    </row>
    <row r="4" ht="15.0" customHeight="1">
      <c r="A4" s="9">
        <v>1.0</v>
      </c>
      <c r="B4" s="10" t="s">
        <v>63</v>
      </c>
      <c r="C4" s="9" t="s">
        <v>64</v>
      </c>
      <c r="D4" s="11">
        <v>1000.0</v>
      </c>
      <c r="E4" s="12">
        <v>750.0</v>
      </c>
      <c r="F4" s="9" t="s">
        <v>65</v>
      </c>
      <c r="G4" s="13">
        <f t="shared" ref="G4:G79" si="1">E4/D4</f>
        <v>0.75</v>
      </c>
      <c r="H4" s="14">
        <v>80.0</v>
      </c>
      <c r="I4" s="13">
        <f t="shared" ref="I4:I79" si="2">G4/(H4/100)</f>
        <v>0.9375</v>
      </c>
      <c r="J4" s="15" t="s">
        <v>66</v>
      </c>
    </row>
    <row r="5" ht="15.0" customHeight="1">
      <c r="A5" s="16">
        <v>2.0</v>
      </c>
      <c r="B5" s="17" t="s">
        <v>67</v>
      </c>
      <c r="C5" s="16" t="s">
        <v>64</v>
      </c>
      <c r="D5" s="18">
        <v>1000.0</v>
      </c>
      <c r="E5" s="19">
        <v>900.0</v>
      </c>
      <c r="F5" s="16" t="s">
        <v>65</v>
      </c>
      <c r="G5" s="20">
        <f t="shared" si="1"/>
        <v>0.9</v>
      </c>
      <c r="H5" s="21">
        <v>85.0</v>
      </c>
      <c r="I5" s="20">
        <f t="shared" si="2"/>
        <v>1.058823529</v>
      </c>
      <c r="J5" s="22" t="s">
        <v>68</v>
      </c>
    </row>
    <row r="6" ht="15.0" customHeight="1">
      <c r="A6" s="9">
        <v>3.0</v>
      </c>
      <c r="B6" s="10" t="s">
        <v>69</v>
      </c>
      <c r="C6" s="9" t="s">
        <v>64</v>
      </c>
      <c r="D6" s="11">
        <v>1000.0</v>
      </c>
      <c r="E6" s="12">
        <v>600.0</v>
      </c>
      <c r="F6" s="9" t="s">
        <v>65</v>
      </c>
      <c r="G6" s="13">
        <f t="shared" si="1"/>
        <v>0.6</v>
      </c>
      <c r="H6" s="14">
        <v>90.0</v>
      </c>
      <c r="I6" s="13">
        <f t="shared" si="2"/>
        <v>0.6666666667</v>
      </c>
      <c r="J6" s="15" t="s">
        <v>70</v>
      </c>
    </row>
    <row r="7" ht="15.0" customHeight="1">
      <c r="A7" s="16">
        <v>4.0</v>
      </c>
      <c r="B7" s="17" t="s">
        <v>71</v>
      </c>
      <c r="C7" s="16" t="s">
        <v>64</v>
      </c>
      <c r="D7" s="18">
        <v>1000.0</v>
      </c>
      <c r="E7" s="19">
        <v>600.0</v>
      </c>
      <c r="F7" s="16" t="s">
        <v>65</v>
      </c>
      <c r="G7" s="20">
        <f t="shared" si="1"/>
        <v>0.6</v>
      </c>
      <c r="H7" s="21">
        <v>95.0</v>
      </c>
      <c r="I7" s="20">
        <f t="shared" si="2"/>
        <v>0.6315789474</v>
      </c>
      <c r="J7" s="22" t="s">
        <v>72</v>
      </c>
    </row>
    <row r="8" ht="15.0" customHeight="1">
      <c r="A8" s="9">
        <v>5.0</v>
      </c>
      <c r="B8" s="10" t="s">
        <v>73</v>
      </c>
      <c r="C8" s="9" t="s">
        <v>64</v>
      </c>
      <c r="D8" s="11">
        <v>1000.0</v>
      </c>
      <c r="E8" s="12">
        <v>800.0</v>
      </c>
      <c r="F8" s="9" t="s">
        <v>65</v>
      </c>
      <c r="G8" s="13">
        <f t="shared" si="1"/>
        <v>0.8</v>
      </c>
      <c r="H8" s="14">
        <v>70.0</v>
      </c>
      <c r="I8" s="13">
        <f t="shared" si="2"/>
        <v>1.142857143</v>
      </c>
      <c r="J8" s="15" t="s">
        <v>74</v>
      </c>
    </row>
    <row r="9" ht="15.0" customHeight="1">
      <c r="A9" s="16">
        <v>6.0</v>
      </c>
      <c r="B9" s="17" t="s">
        <v>75</v>
      </c>
      <c r="C9" s="16" t="s">
        <v>64</v>
      </c>
      <c r="D9" s="18">
        <v>1000.0</v>
      </c>
      <c r="E9" s="19">
        <v>700.0</v>
      </c>
      <c r="F9" s="16" t="s">
        <v>65</v>
      </c>
      <c r="G9" s="20">
        <f t="shared" si="1"/>
        <v>0.7</v>
      </c>
      <c r="H9" s="21">
        <v>90.0</v>
      </c>
      <c r="I9" s="20">
        <f t="shared" si="2"/>
        <v>0.7777777778</v>
      </c>
      <c r="J9" s="22" t="s">
        <v>76</v>
      </c>
    </row>
    <row r="10" ht="15.0" customHeight="1">
      <c r="A10" s="9">
        <v>7.0</v>
      </c>
      <c r="B10" s="10" t="s">
        <v>77</v>
      </c>
      <c r="C10" s="9" t="s">
        <v>64</v>
      </c>
      <c r="D10" s="11">
        <v>1000.0</v>
      </c>
      <c r="E10" s="12">
        <v>750.0</v>
      </c>
      <c r="F10" s="9" t="s">
        <v>65</v>
      </c>
      <c r="G10" s="13">
        <f t="shared" si="1"/>
        <v>0.75</v>
      </c>
      <c r="H10" s="14">
        <v>70.0</v>
      </c>
      <c r="I10" s="13">
        <f t="shared" si="2"/>
        <v>1.071428571</v>
      </c>
      <c r="J10" s="15" t="s">
        <v>78</v>
      </c>
    </row>
    <row r="11" ht="15.0" customHeight="1">
      <c r="A11" s="16">
        <v>8.0</v>
      </c>
      <c r="B11" s="17" t="s">
        <v>79</v>
      </c>
      <c r="C11" s="16" t="s">
        <v>64</v>
      </c>
      <c r="D11" s="18">
        <v>1000.0</v>
      </c>
      <c r="E11" s="19">
        <v>600.0</v>
      </c>
      <c r="F11" s="16" t="s">
        <v>65</v>
      </c>
      <c r="G11" s="20">
        <f t="shared" si="1"/>
        <v>0.6</v>
      </c>
      <c r="H11" s="21">
        <v>95.0</v>
      </c>
      <c r="I11" s="20">
        <f t="shared" si="2"/>
        <v>0.6315789474</v>
      </c>
      <c r="J11" s="22" t="s">
        <v>80</v>
      </c>
    </row>
    <row r="12" ht="15.0" customHeight="1">
      <c r="A12" s="9">
        <v>9.0</v>
      </c>
      <c r="B12" s="10" t="s">
        <v>81</v>
      </c>
      <c r="C12" s="9" t="s">
        <v>64</v>
      </c>
      <c r="D12" s="11">
        <v>1000.0</v>
      </c>
      <c r="E12" s="12">
        <v>750.0</v>
      </c>
      <c r="F12" s="9" t="s">
        <v>65</v>
      </c>
      <c r="G12" s="13">
        <f t="shared" si="1"/>
        <v>0.75</v>
      </c>
      <c r="H12" s="14">
        <v>90.0</v>
      </c>
      <c r="I12" s="13">
        <f t="shared" si="2"/>
        <v>0.8333333333</v>
      </c>
      <c r="J12" s="15" t="s">
        <v>82</v>
      </c>
    </row>
    <row r="13" ht="15.0" customHeight="1">
      <c r="A13" s="16">
        <v>10.0</v>
      </c>
      <c r="B13" s="17" t="s">
        <v>83</v>
      </c>
      <c r="C13" s="16" t="s">
        <v>64</v>
      </c>
      <c r="D13" s="18">
        <v>1000.0</v>
      </c>
      <c r="E13" s="19">
        <v>900.0</v>
      </c>
      <c r="F13" s="16" t="s">
        <v>65</v>
      </c>
      <c r="G13" s="20">
        <f t="shared" si="1"/>
        <v>0.9</v>
      </c>
      <c r="H13" s="21">
        <v>98.0</v>
      </c>
      <c r="I13" s="20">
        <f t="shared" si="2"/>
        <v>0.9183673469</v>
      </c>
      <c r="J13" s="22" t="s">
        <v>84</v>
      </c>
    </row>
    <row r="14" ht="15.0" customHeight="1">
      <c r="A14" s="9">
        <v>11.0</v>
      </c>
      <c r="B14" s="10" t="s">
        <v>85</v>
      </c>
      <c r="C14" s="9" t="s">
        <v>64</v>
      </c>
      <c r="D14" s="11">
        <v>1000.0</v>
      </c>
      <c r="E14" s="12">
        <v>1200.0</v>
      </c>
      <c r="F14" s="9" t="s">
        <v>65</v>
      </c>
      <c r="G14" s="13">
        <f t="shared" si="1"/>
        <v>1.2</v>
      </c>
      <c r="H14" s="14">
        <v>98.0</v>
      </c>
      <c r="I14" s="13">
        <f t="shared" si="2"/>
        <v>1.224489796</v>
      </c>
      <c r="J14" s="15" t="s">
        <v>86</v>
      </c>
    </row>
    <row r="15" ht="15.0" customHeight="1">
      <c r="A15" s="16">
        <v>12.0</v>
      </c>
      <c r="B15" s="17" t="s">
        <v>87</v>
      </c>
      <c r="C15" s="16" t="s">
        <v>64</v>
      </c>
      <c r="D15" s="18">
        <v>1000.0</v>
      </c>
      <c r="E15" s="19">
        <v>1000.0</v>
      </c>
      <c r="F15" s="16" t="s">
        <v>65</v>
      </c>
      <c r="G15" s="20">
        <f t="shared" si="1"/>
        <v>1</v>
      </c>
      <c r="H15" s="21">
        <v>95.0</v>
      </c>
      <c r="I15" s="20">
        <f t="shared" si="2"/>
        <v>1.052631579</v>
      </c>
      <c r="J15" s="22" t="s">
        <v>88</v>
      </c>
    </row>
    <row r="16" ht="15.0" customHeight="1">
      <c r="A16" s="9">
        <v>13.0</v>
      </c>
      <c r="B16" s="10" t="s">
        <v>89</v>
      </c>
      <c r="C16" s="9" t="s">
        <v>64</v>
      </c>
      <c r="D16" s="11">
        <v>1000.0</v>
      </c>
      <c r="E16" s="12">
        <v>700.0</v>
      </c>
      <c r="F16" s="9" t="s">
        <v>65</v>
      </c>
      <c r="G16" s="13">
        <f t="shared" si="1"/>
        <v>0.7</v>
      </c>
      <c r="H16" s="14">
        <v>95.0</v>
      </c>
      <c r="I16" s="13">
        <f t="shared" si="2"/>
        <v>0.7368421053</v>
      </c>
      <c r="J16" s="15" t="s">
        <v>90</v>
      </c>
    </row>
    <row r="17" ht="15.0" customHeight="1">
      <c r="A17" s="16">
        <v>14.0</v>
      </c>
      <c r="B17" s="17" t="s">
        <v>91</v>
      </c>
      <c r="C17" s="16" t="s">
        <v>64</v>
      </c>
      <c r="D17" s="18">
        <v>1000.0</v>
      </c>
      <c r="E17" s="19">
        <v>1000.0</v>
      </c>
      <c r="F17" s="16" t="s">
        <v>65</v>
      </c>
      <c r="G17" s="20">
        <f t="shared" si="1"/>
        <v>1</v>
      </c>
      <c r="H17" s="21">
        <v>90.0</v>
      </c>
      <c r="I17" s="20">
        <f t="shared" si="2"/>
        <v>1.111111111</v>
      </c>
      <c r="J17" s="22" t="s">
        <v>88</v>
      </c>
    </row>
    <row r="18" ht="15.0" customHeight="1">
      <c r="A18" s="9">
        <v>15.0</v>
      </c>
      <c r="B18" s="10" t="s">
        <v>92</v>
      </c>
      <c r="C18" s="9" t="s">
        <v>93</v>
      </c>
      <c r="D18" s="11">
        <v>30.0</v>
      </c>
      <c r="E18" s="12">
        <v>540.0</v>
      </c>
      <c r="F18" s="9" t="s">
        <v>94</v>
      </c>
      <c r="G18" s="13">
        <f t="shared" si="1"/>
        <v>18</v>
      </c>
      <c r="H18" s="14">
        <v>100.0</v>
      </c>
      <c r="I18" s="13">
        <f t="shared" si="2"/>
        <v>18</v>
      </c>
      <c r="J18" s="15" t="s">
        <v>95</v>
      </c>
    </row>
    <row r="19" ht="15.0" customHeight="1">
      <c r="A19" s="16">
        <v>16.0</v>
      </c>
      <c r="B19" s="17" t="s">
        <v>96</v>
      </c>
      <c r="C19" s="16" t="s">
        <v>64</v>
      </c>
      <c r="D19" s="18">
        <v>1000.0</v>
      </c>
      <c r="E19" s="19">
        <v>1100.0</v>
      </c>
      <c r="F19" s="16" t="s">
        <v>65</v>
      </c>
      <c r="G19" s="20">
        <f t="shared" si="1"/>
        <v>1.1</v>
      </c>
      <c r="H19" s="21">
        <v>100.0</v>
      </c>
      <c r="I19" s="20">
        <f t="shared" si="2"/>
        <v>1.1</v>
      </c>
      <c r="J19" s="22" t="s">
        <v>97</v>
      </c>
    </row>
    <row r="20" ht="15.0" customHeight="1">
      <c r="A20" s="9">
        <v>17.0</v>
      </c>
      <c r="B20" s="10" t="s">
        <v>98</v>
      </c>
      <c r="C20" s="9" t="s">
        <v>64</v>
      </c>
      <c r="D20" s="11">
        <v>1000.0</v>
      </c>
      <c r="E20" s="12">
        <v>1000.0</v>
      </c>
      <c r="F20" s="9" t="s">
        <v>65</v>
      </c>
      <c r="G20" s="13">
        <f t="shared" si="1"/>
        <v>1</v>
      </c>
      <c r="H20" s="14">
        <v>100.0</v>
      </c>
      <c r="I20" s="13">
        <f t="shared" si="2"/>
        <v>1</v>
      </c>
      <c r="J20" s="15" t="s">
        <v>99</v>
      </c>
    </row>
    <row r="21" ht="15.0" customHeight="1">
      <c r="A21" s="16">
        <v>18.0</v>
      </c>
      <c r="B21" s="17" t="s">
        <v>100</v>
      </c>
      <c r="C21" s="16" t="s">
        <v>64</v>
      </c>
      <c r="D21" s="18">
        <v>1000.0</v>
      </c>
      <c r="E21" s="19">
        <v>900.0</v>
      </c>
      <c r="F21" s="16" t="s">
        <v>65</v>
      </c>
      <c r="G21" s="20">
        <f t="shared" si="1"/>
        <v>0.9</v>
      </c>
      <c r="H21" s="21">
        <v>100.0</v>
      </c>
      <c r="I21" s="20">
        <f t="shared" si="2"/>
        <v>0.9</v>
      </c>
      <c r="J21" s="22" t="s">
        <v>101</v>
      </c>
    </row>
    <row r="22" ht="15.0" customHeight="1">
      <c r="A22" s="9">
        <v>19.0</v>
      </c>
      <c r="B22" s="10" t="s">
        <v>102</v>
      </c>
      <c r="C22" s="9" t="s">
        <v>103</v>
      </c>
      <c r="D22" s="11">
        <v>1000.0</v>
      </c>
      <c r="E22" s="12">
        <v>320.0</v>
      </c>
      <c r="F22" s="9" t="s">
        <v>104</v>
      </c>
      <c r="G22" s="13">
        <f t="shared" si="1"/>
        <v>0.32</v>
      </c>
      <c r="H22" s="14">
        <v>100.0</v>
      </c>
      <c r="I22" s="13">
        <f t="shared" si="2"/>
        <v>0.32</v>
      </c>
      <c r="J22" s="15" t="s">
        <v>105</v>
      </c>
    </row>
    <row r="23" ht="15.0" customHeight="1">
      <c r="A23" s="16">
        <v>20.0</v>
      </c>
      <c r="B23" s="17" t="s">
        <v>106</v>
      </c>
      <c r="C23" s="16" t="s">
        <v>103</v>
      </c>
      <c r="D23" s="18">
        <v>1000.0</v>
      </c>
      <c r="E23" s="19">
        <v>1200.0</v>
      </c>
      <c r="F23" s="16" t="s">
        <v>104</v>
      </c>
      <c r="G23" s="20">
        <f t="shared" si="1"/>
        <v>1.2</v>
      </c>
      <c r="H23" s="21">
        <v>100.0</v>
      </c>
      <c r="I23" s="20">
        <f t="shared" si="2"/>
        <v>1.2</v>
      </c>
      <c r="J23" s="22" t="s">
        <v>107</v>
      </c>
    </row>
    <row r="24" ht="15.0" customHeight="1">
      <c r="A24" s="9">
        <v>21.0</v>
      </c>
      <c r="B24" s="10" t="s">
        <v>108</v>
      </c>
      <c r="C24" s="9" t="s">
        <v>103</v>
      </c>
      <c r="D24" s="11">
        <v>1000.0</v>
      </c>
      <c r="E24" s="12">
        <v>65.0</v>
      </c>
      <c r="F24" s="9" t="s">
        <v>104</v>
      </c>
      <c r="G24" s="13">
        <f t="shared" si="1"/>
        <v>0.065</v>
      </c>
      <c r="H24" s="14">
        <v>100.0</v>
      </c>
      <c r="I24" s="13">
        <f t="shared" si="2"/>
        <v>0.065</v>
      </c>
      <c r="J24" s="15" t="s">
        <v>109</v>
      </c>
    </row>
    <row r="25" ht="15.0" customHeight="1">
      <c r="A25" s="16">
        <v>22.0</v>
      </c>
      <c r="B25" s="17" t="s">
        <v>110</v>
      </c>
      <c r="C25" s="16" t="s">
        <v>103</v>
      </c>
      <c r="D25" s="18">
        <v>1000.0</v>
      </c>
      <c r="E25" s="19">
        <v>80.0</v>
      </c>
      <c r="F25" s="16" t="s">
        <v>104</v>
      </c>
      <c r="G25" s="20">
        <f t="shared" si="1"/>
        <v>0.08</v>
      </c>
      <c r="H25" s="21">
        <v>100.0</v>
      </c>
      <c r="I25" s="20">
        <f t="shared" si="2"/>
        <v>0.08</v>
      </c>
      <c r="J25" s="22" t="s">
        <v>111</v>
      </c>
    </row>
    <row r="26" ht="15.0" customHeight="1">
      <c r="A26" s="9">
        <v>23.0</v>
      </c>
      <c r="B26" s="10" t="s">
        <v>112</v>
      </c>
      <c r="C26" s="9" t="s">
        <v>113</v>
      </c>
      <c r="D26" s="11">
        <v>400.0</v>
      </c>
      <c r="E26" s="12">
        <v>180.0</v>
      </c>
      <c r="F26" s="9" t="s">
        <v>104</v>
      </c>
      <c r="G26" s="13">
        <f t="shared" si="1"/>
        <v>0.45</v>
      </c>
      <c r="H26" s="14">
        <v>100.0</v>
      </c>
      <c r="I26" s="13">
        <f t="shared" si="2"/>
        <v>0.45</v>
      </c>
      <c r="J26" s="15" t="s">
        <v>114</v>
      </c>
    </row>
    <row r="27" ht="15.0" customHeight="1">
      <c r="A27" s="16">
        <v>24.0</v>
      </c>
      <c r="B27" s="17" t="s">
        <v>115</v>
      </c>
      <c r="C27" s="16" t="s">
        <v>64</v>
      </c>
      <c r="D27" s="18">
        <v>1000.0</v>
      </c>
      <c r="E27" s="19">
        <v>130.0</v>
      </c>
      <c r="F27" s="16" t="s">
        <v>65</v>
      </c>
      <c r="G27" s="20">
        <f t="shared" si="1"/>
        <v>0.13</v>
      </c>
      <c r="H27" s="21">
        <v>100.0</v>
      </c>
      <c r="I27" s="20">
        <f t="shared" si="2"/>
        <v>0.13</v>
      </c>
      <c r="J27" s="22" t="s">
        <v>116</v>
      </c>
    </row>
    <row r="28" ht="15.0" customHeight="1">
      <c r="A28" s="9">
        <v>25.0</v>
      </c>
      <c r="B28" s="10" t="s">
        <v>117</v>
      </c>
      <c r="C28" s="9" t="s">
        <v>64</v>
      </c>
      <c r="D28" s="11">
        <v>1000.0</v>
      </c>
      <c r="E28" s="12">
        <v>300.0</v>
      </c>
      <c r="F28" s="9" t="s">
        <v>65</v>
      </c>
      <c r="G28" s="13">
        <f t="shared" si="1"/>
        <v>0.3</v>
      </c>
      <c r="H28" s="14">
        <v>100.0</v>
      </c>
      <c r="I28" s="13">
        <f t="shared" si="2"/>
        <v>0.3</v>
      </c>
      <c r="J28" s="15" t="s">
        <v>118</v>
      </c>
    </row>
    <row r="29" ht="15.0" customHeight="1">
      <c r="A29" s="16">
        <v>26.0</v>
      </c>
      <c r="B29" s="17" t="s">
        <v>119</v>
      </c>
      <c r="C29" s="16" t="s">
        <v>94</v>
      </c>
      <c r="D29" s="18">
        <v>1.0</v>
      </c>
      <c r="E29" s="19">
        <v>25.0</v>
      </c>
      <c r="F29" s="16" t="s">
        <v>94</v>
      </c>
      <c r="G29" s="20">
        <f t="shared" si="1"/>
        <v>25</v>
      </c>
      <c r="H29" s="21">
        <v>100.0</v>
      </c>
      <c r="I29" s="20">
        <f t="shared" si="2"/>
        <v>25</v>
      </c>
      <c r="J29" s="22" t="s">
        <v>120</v>
      </c>
    </row>
    <row r="30" ht="15.0" customHeight="1">
      <c r="A30" s="9">
        <v>27.0</v>
      </c>
      <c r="B30" s="10" t="s">
        <v>121</v>
      </c>
      <c r="C30" s="9" t="s">
        <v>122</v>
      </c>
      <c r="D30" s="11">
        <v>18.0</v>
      </c>
      <c r="E30" s="12">
        <v>70.0</v>
      </c>
      <c r="F30" s="9" t="s">
        <v>94</v>
      </c>
      <c r="G30" s="13">
        <f t="shared" si="1"/>
        <v>3.888888889</v>
      </c>
      <c r="H30" s="14">
        <v>100.0</v>
      </c>
      <c r="I30" s="13">
        <f t="shared" si="2"/>
        <v>3.888888889</v>
      </c>
      <c r="J30" s="15" t="s">
        <v>123</v>
      </c>
    </row>
    <row r="31" ht="15.0" customHeight="1">
      <c r="A31" s="16">
        <v>28.0</v>
      </c>
      <c r="B31" s="17" t="s">
        <v>124</v>
      </c>
      <c r="C31" s="16" t="s">
        <v>64</v>
      </c>
      <c r="D31" s="18">
        <v>1000.0</v>
      </c>
      <c r="E31" s="19">
        <v>150.0</v>
      </c>
      <c r="F31" s="16" t="s">
        <v>65</v>
      </c>
      <c r="G31" s="20">
        <f t="shared" si="1"/>
        <v>0.15</v>
      </c>
      <c r="H31" s="21">
        <v>100.0</v>
      </c>
      <c r="I31" s="20">
        <f t="shared" si="2"/>
        <v>0.15</v>
      </c>
      <c r="J31" s="22" t="s">
        <v>125</v>
      </c>
    </row>
    <row r="32" ht="15.0" customHeight="1">
      <c r="A32" s="9">
        <v>29.0</v>
      </c>
      <c r="B32" s="10" t="s">
        <v>126</v>
      </c>
      <c r="C32" s="9" t="s">
        <v>64</v>
      </c>
      <c r="D32" s="11">
        <v>1000.0</v>
      </c>
      <c r="E32" s="12">
        <v>70.0</v>
      </c>
      <c r="F32" s="9" t="s">
        <v>65</v>
      </c>
      <c r="G32" s="13">
        <f t="shared" si="1"/>
        <v>0.07</v>
      </c>
      <c r="H32" s="14">
        <v>100.0</v>
      </c>
      <c r="I32" s="13">
        <f t="shared" si="2"/>
        <v>0.07</v>
      </c>
      <c r="J32" s="15" t="s">
        <v>127</v>
      </c>
    </row>
    <row r="33" ht="15.0" customHeight="1">
      <c r="A33" s="16">
        <v>30.0</v>
      </c>
      <c r="B33" s="17" t="s">
        <v>128</v>
      </c>
      <c r="C33" s="16" t="s">
        <v>64</v>
      </c>
      <c r="D33" s="18">
        <v>1000.0</v>
      </c>
      <c r="E33" s="19">
        <v>70.0</v>
      </c>
      <c r="F33" s="16" t="s">
        <v>65</v>
      </c>
      <c r="G33" s="20">
        <f t="shared" si="1"/>
        <v>0.07</v>
      </c>
      <c r="H33" s="21">
        <v>80.0</v>
      </c>
      <c r="I33" s="20">
        <f t="shared" si="2"/>
        <v>0.0875</v>
      </c>
      <c r="J33" s="22" t="s">
        <v>129</v>
      </c>
    </row>
    <row r="34" ht="15.0" customHeight="1">
      <c r="A34" s="9">
        <v>31.0</v>
      </c>
      <c r="B34" s="10" t="s">
        <v>130</v>
      </c>
      <c r="C34" s="9" t="s">
        <v>64</v>
      </c>
      <c r="D34" s="11">
        <v>1000.0</v>
      </c>
      <c r="E34" s="12">
        <v>150.0</v>
      </c>
      <c r="F34" s="9" t="s">
        <v>65</v>
      </c>
      <c r="G34" s="13">
        <f t="shared" si="1"/>
        <v>0.15</v>
      </c>
      <c r="H34" s="14">
        <v>60.0</v>
      </c>
      <c r="I34" s="13">
        <f t="shared" si="2"/>
        <v>0.25</v>
      </c>
      <c r="J34" s="15" t="s">
        <v>131</v>
      </c>
    </row>
    <row r="35" ht="15.0" customHeight="1">
      <c r="A35" s="16">
        <v>32.0</v>
      </c>
      <c r="B35" s="17" t="s">
        <v>132</v>
      </c>
      <c r="C35" s="16" t="s">
        <v>64</v>
      </c>
      <c r="D35" s="18">
        <v>1000.0</v>
      </c>
      <c r="E35" s="19">
        <v>80.0</v>
      </c>
      <c r="F35" s="16" t="s">
        <v>65</v>
      </c>
      <c r="G35" s="20">
        <f t="shared" si="1"/>
        <v>0.08</v>
      </c>
      <c r="H35" s="21">
        <v>75.0</v>
      </c>
      <c r="I35" s="20">
        <f t="shared" si="2"/>
        <v>0.1066666667</v>
      </c>
      <c r="J35" s="22" t="s">
        <v>133</v>
      </c>
    </row>
    <row r="36" ht="15.0" customHeight="1">
      <c r="A36" s="9">
        <v>33.0</v>
      </c>
      <c r="B36" s="10" t="s">
        <v>134</v>
      </c>
      <c r="C36" s="9" t="s">
        <v>64</v>
      </c>
      <c r="D36" s="11">
        <v>1000.0</v>
      </c>
      <c r="E36" s="12">
        <v>120.0</v>
      </c>
      <c r="F36" s="9" t="s">
        <v>65</v>
      </c>
      <c r="G36" s="13">
        <f t="shared" si="1"/>
        <v>0.12</v>
      </c>
      <c r="H36" s="14">
        <v>90.0</v>
      </c>
      <c r="I36" s="13">
        <f t="shared" si="2"/>
        <v>0.1333333333</v>
      </c>
      <c r="J36" s="15" t="s">
        <v>135</v>
      </c>
    </row>
    <row r="37" ht="15.0" customHeight="1">
      <c r="A37" s="16">
        <v>34.0</v>
      </c>
      <c r="B37" s="17" t="s">
        <v>136</v>
      </c>
      <c r="C37" s="16" t="s">
        <v>64</v>
      </c>
      <c r="D37" s="18">
        <v>1000.0</v>
      </c>
      <c r="E37" s="19">
        <v>120.0</v>
      </c>
      <c r="F37" s="16" t="s">
        <v>65</v>
      </c>
      <c r="G37" s="20">
        <f t="shared" si="1"/>
        <v>0.12</v>
      </c>
      <c r="H37" s="21">
        <v>90.0</v>
      </c>
      <c r="I37" s="20">
        <f t="shared" si="2"/>
        <v>0.1333333333</v>
      </c>
      <c r="J37" s="22" t="s">
        <v>135</v>
      </c>
    </row>
    <row r="38" ht="15.0" customHeight="1">
      <c r="A38" s="9">
        <v>35.0</v>
      </c>
      <c r="B38" s="10" t="s">
        <v>137</v>
      </c>
      <c r="C38" s="9" t="s">
        <v>64</v>
      </c>
      <c r="D38" s="11">
        <v>1000.0</v>
      </c>
      <c r="E38" s="12">
        <v>400.0</v>
      </c>
      <c r="F38" s="9" t="s">
        <v>65</v>
      </c>
      <c r="G38" s="13">
        <f t="shared" si="1"/>
        <v>0.4</v>
      </c>
      <c r="H38" s="14">
        <v>100.0</v>
      </c>
      <c r="I38" s="13">
        <f t="shared" si="2"/>
        <v>0.4</v>
      </c>
      <c r="J38" s="15" t="s">
        <v>138</v>
      </c>
    </row>
    <row r="39" ht="15.0" customHeight="1">
      <c r="A39" s="16">
        <v>36.0</v>
      </c>
      <c r="B39" s="17" t="s">
        <v>139</v>
      </c>
      <c r="C39" s="16" t="s">
        <v>64</v>
      </c>
      <c r="D39" s="18">
        <v>1000.0</v>
      </c>
      <c r="E39" s="19">
        <v>500.0</v>
      </c>
      <c r="F39" s="16" t="s">
        <v>65</v>
      </c>
      <c r="G39" s="20">
        <f t="shared" si="1"/>
        <v>0.5</v>
      </c>
      <c r="H39" s="21">
        <v>90.0</v>
      </c>
      <c r="I39" s="20">
        <f t="shared" si="2"/>
        <v>0.5555555556</v>
      </c>
      <c r="J39" s="22" t="s">
        <v>140</v>
      </c>
    </row>
    <row r="40" ht="15.0" customHeight="1">
      <c r="A40" s="9">
        <v>37.0</v>
      </c>
      <c r="B40" s="10" t="s">
        <v>141</v>
      </c>
      <c r="C40" s="9" t="s">
        <v>64</v>
      </c>
      <c r="D40" s="11">
        <v>1000.0</v>
      </c>
      <c r="E40" s="12">
        <v>400.0</v>
      </c>
      <c r="F40" s="9" t="s">
        <v>65</v>
      </c>
      <c r="G40" s="13">
        <f t="shared" si="1"/>
        <v>0.4</v>
      </c>
      <c r="H40" s="14">
        <v>85.0</v>
      </c>
      <c r="I40" s="13">
        <f t="shared" si="2"/>
        <v>0.4705882353</v>
      </c>
      <c r="J40" s="15" t="s">
        <v>142</v>
      </c>
    </row>
    <row r="41" ht="15.0" customHeight="1">
      <c r="A41" s="16">
        <v>38.0</v>
      </c>
      <c r="B41" s="17" t="s">
        <v>143</v>
      </c>
      <c r="C41" s="16" t="s">
        <v>64</v>
      </c>
      <c r="D41" s="18">
        <v>1000.0</v>
      </c>
      <c r="E41" s="19">
        <v>200.0</v>
      </c>
      <c r="F41" s="16" t="s">
        <v>65</v>
      </c>
      <c r="G41" s="20">
        <f t="shared" si="1"/>
        <v>0.2</v>
      </c>
      <c r="H41" s="21">
        <v>85.0</v>
      </c>
      <c r="I41" s="20">
        <f t="shared" si="2"/>
        <v>0.2352941176</v>
      </c>
      <c r="J41" s="22" t="s">
        <v>144</v>
      </c>
    </row>
    <row r="42" ht="15.0" customHeight="1">
      <c r="A42" s="9">
        <v>39.0</v>
      </c>
      <c r="B42" s="10" t="s">
        <v>145</v>
      </c>
      <c r="C42" s="9" t="s">
        <v>64</v>
      </c>
      <c r="D42" s="11">
        <v>1000.0</v>
      </c>
      <c r="E42" s="12">
        <v>120.0</v>
      </c>
      <c r="F42" s="9" t="s">
        <v>65</v>
      </c>
      <c r="G42" s="13">
        <f t="shared" si="1"/>
        <v>0.12</v>
      </c>
      <c r="H42" s="14">
        <v>80.0</v>
      </c>
      <c r="I42" s="13">
        <f t="shared" si="2"/>
        <v>0.15</v>
      </c>
      <c r="J42" s="15" t="s">
        <v>146</v>
      </c>
    </row>
    <row r="43" ht="15.0" customHeight="1">
      <c r="A43" s="16">
        <v>40.0</v>
      </c>
      <c r="B43" s="17" t="s">
        <v>147</v>
      </c>
      <c r="C43" s="16" t="s">
        <v>64</v>
      </c>
      <c r="D43" s="18">
        <v>1000.0</v>
      </c>
      <c r="E43" s="19">
        <v>100.0</v>
      </c>
      <c r="F43" s="16" t="s">
        <v>65</v>
      </c>
      <c r="G43" s="20">
        <f t="shared" si="1"/>
        <v>0.1</v>
      </c>
      <c r="H43" s="21">
        <v>90.0</v>
      </c>
      <c r="I43" s="20">
        <f t="shared" si="2"/>
        <v>0.1111111111</v>
      </c>
      <c r="J43" s="22" t="s">
        <v>148</v>
      </c>
    </row>
    <row r="44" ht="15.0" customHeight="1">
      <c r="A44" s="9">
        <v>41.0</v>
      </c>
      <c r="B44" s="10" t="s">
        <v>149</v>
      </c>
      <c r="C44" s="9" t="s">
        <v>94</v>
      </c>
      <c r="D44" s="11">
        <v>1.0</v>
      </c>
      <c r="E44" s="12">
        <v>15.0</v>
      </c>
      <c r="F44" s="9" t="s">
        <v>94</v>
      </c>
      <c r="G44" s="13">
        <f t="shared" si="1"/>
        <v>15</v>
      </c>
      <c r="H44" s="14">
        <v>100.0</v>
      </c>
      <c r="I44" s="13">
        <f t="shared" si="2"/>
        <v>15</v>
      </c>
      <c r="J44" s="15" t="s">
        <v>150</v>
      </c>
    </row>
    <row r="45" ht="15.0" customHeight="1">
      <c r="A45" s="16">
        <v>42.0</v>
      </c>
      <c r="B45" s="17" t="s">
        <v>151</v>
      </c>
      <c r="C45" s="16" t="s">
        <v>94</v>
      </c>
      <c r="D45" s="18">
        <v>1.0</v>
      </c>
      <c r="E45" s="19">
        <v>15.0</v>
      </c>
      <c r="F45" s="16" t="s">
        <v>94</v>
      </c>
      <c r="G45" s="20">
        <f t="shared" si="1"/>
        <v>15</v>
      </c>
      <c r="H45" s="21">
        <v>100.0</v>
      </c>
      <c r="I45" s="20">
        <f t="shared" si="2"/>
        <v>15</v>
      </c>
      <c r="J45" s="22" t="s">
        <v>150</v>
      </c>
    </row>
    <row r="46" ht="15.0" customHeight="1">
      <c r="A46" s="9">
        <v>43.0</v>
      </c>
      <c r="B46" s="10" t="s">
        <v>152</v>
      </c>
      <c r="C46" s="9" t="s">
        <v>64</v>
      </c>
      <c r="D46" s="11">
        <v>1000.0</v>
      </c>
      <c r="E46" s="12">
        <v>2000.0</v>
      </c>
      <c r="F46" s="9" t="s">
        <v>65</v>
      </c>
      <c r="G46" s="13">
        <f t="shared" si="1"/>
        <v>2</v>
      </c>
      <c r="H46" s="14">
        <v>100.0</v>
      </c>
      <c r="I46" s="13">
        <f t="shared" si="2"/>
        <v>2</v>
      </c>
      <c r="J46" s="15" t="s">
        <v>153</v>
      </c>
    </row>
    <row r="47" ht="15.0" customHeight="1">
      <c r="A47" s="16">
        <v>44.0</v>
      </c>
      <c r="B47" s="17" t="s">
        <v>154</v>
      </c>
      <c r="C47" s="16" t="s">
        <v>64</v>
      </c>
      <c r="D47" s="18">
        <v>1000.0</v>
      </c>
      <c r="E47" s="19">
        <v>500.0</v>
      </c>
      <c r="F47" s="16" t="s">
        <v>65</v>
      </c>
      <c r="G47" s="20">
        <f t="shared" si="1"/>
        <v>0.5</v>
      </c>
      <c r="H47" s="21">
        <v>100.0</v>
      </c>
      <c r="I47" s="20">
        <f t="shared" si="2"/>
        <v>0.5</v>
      </c>
      <c r="J47" s="22" t="s">
        <v>155</v>
      </c>
    </row>
    <row r="48" ht="15.0" customHeight="1">
      <c r="A48" s="9">
        <v>45.0</v>
      </c>
      <c r="B48" s="10" t="s">
        <v>156</v>
      </c>
      <c r="C48" s="9" t="s">
        <v>64</v>
      </c>
      <c r="D48" s="11">
        <v>1000.0</v>
      </c>
      <c r="E48" s="12">
        <v>400.0</v>
      </c>
      <c r="F48" s="9" t="s">
        <v>65</v>
      </c>
      <c r="G48" s="13">
        <f t="shared" si="1"/>
        <v>0.4</v>
      </c>
      <c r="H48" s="14">
        <v>100.0</v>
      </c>
      <c r="I48" s="13">
        <f t="shared" si="2"/>
        <v>0.4</v>
      </c>
      <c r="J48" s="15" t="s">
        <v>142</v>
      </c>
    </row>
    <row r="49" ht="15.0" customHeight="1">
      <c r="A49" s="16">
        <v>46.0</v>
      </c>
      <c r="B49" s="17" t="s">
        <v>157</v>
      </c>
      <c r="C49" s="16" t="s">
        <v>64</v>
      </c>
      <c r="D49" s="18">
        <v>1000.0</v>
      </c>
      <c r="E49" s="19">
        <v>600.0</v>
      </c>
      <c r="F49" s="16" t="s">
        <v>65</v>
      </c>
      <c r="G49" s="20">
        <f t="shared" si="1"/>
        <v>0.6</v>
      </c>
      <c r="H49" s="21">
        <v>100.0</v>
      </c>
      <c r="I49" s="20">
        <f t="shared" si="2"/>
        <v>0.6</v>
      </c>
      <c r="J49" s="22" t="s">
        <v>158</v>
      </c>
    </row>
    <row r="50" ht="15.0" customHeight="1">
      <c r="A50" s="9">
        <v>47.0</v>
      </c>
      <c r="B50" s="10" t="s">
        <v>159</v>
      </c>
      <c r="C50" s="9" t="s">
        <v>64</v>
      </c>
      <c r="D50" s="11">
        <v>1000.0</v>
      </c>
      <c r="E50" s="12">
        <v>600.0</v>
      </c>
      <c r="F50" s="9" t="s">
        <v>65</v>
      </c>
      <c r="G50" s="13">
        <f t="shared" si="1"/>
        <v>0.6</v>
      </c>
      <c r="H50" s="14">
        <v>100.0</v>
      </c>
      <c r="I50" s="13">
        <f t="shared" si="2"/>
        <v>0.6</v>
      </c>
      <c r="J50" s="15" t="s">
        <v>158</v>
      </c>
    </row>
    <row r="51" ht="15.0" customHeight="1">
      <c r="A51" s="16">
        <v>48.0</v>
      </c>
      <c r="B51" s="17" t="s">
        <v>160</v>
      </c>
      <c r="C51" s="16" t="s">
        <v>103</v>
      </c>
      <c r="D51" s="18">
        <v>1000.0</v>
      </c>
      <c r="E51" s="19">
        <v>400.0</v>
      </c>
      <c r="F51" s="16" t="s">
        <v>104</v>
      </c>
      <c r="G51" s="20">
        <f t="shared" si="1"/>
        <v>0.4</v>
      </c>
      <c r="H51" s="21">
        <v>100.0</v>
      </c>
      <c r="I51" s="20">
        <f t="shared" si="2"/>
        <v>0.4</v>
      </c>
      <c r="J51" s="22" t="s">
        <v>161</v>
      </c>
    </row>
    <row r="52" ht="15.0" customHeight="1">
      <c r="A52" s="9">
        <v>49.0</v>
      </c>
      <c r="B52" s="10" t="s">
        <v>162</v>
      </c>
      <c r="C52" s="9" t="s">
        <v>64</v>
      </c>
      <c r="D52" s="11">
        <v>1000.0</v>
      </c>
      <c r="E52" s="12">
        <v>800.0</v>
      </c>
      <c r="F52" s="9" t="s">
        <v>65</v>
      </c>
      <c r="G52" s="13">
        <f t="shared" si="1"/>
        <v>0.8</v>
      </c>
      <c r="H52" s="14">
        <v>100.0</v>
      </c>
      <c r="I52" s="13">
        <f t="shared" si="2"/>
        <v>0.8</v>
      </c>
      <c r="J52" s="15" t="s">
        <v>163</v>
      </c>
    </row>
    <row r="53" ht="15.0" customHeight="1">
      <c r="A53" s="16">
        <v>50.0</v>
      </c>
      <c r="B53" s="17" t="s">
        <v>164</v>
      </c>
      <c r="C53" s="16" t="s">
        <v>103</v>
      </c>
      <c r="D53" s="18">
        <v>1000.0</v>
      </c>
      <c r="E53" s="19">
        <v>700.0</v>
      </c>
      <c r="F53" s="16" t="s">
        <v>104</v>
      </c>
      <c r="G53" s="20">
        <f t="shared" si="1"/>
        <v>0.7</v>
      </c>
      <c r="H53" s="21">
        <v>100.0</v>
      </c>
      <c r="I53" s="20">
        <f t="shared" si="2"/>
        <v>0.7</v>
      </c>
      <c r="J53" s="22" t="s">
        <v>165</v>
      </c>
    </row>
    <row r="54" ht="15.0" customHeight="1">
      <c r="A54" s="9">
        <v>51.0</v>
      </c>
      <c r="B54" s="10" t="s">
        <v>166</v>
      </c>
      <c r="C54" s="9" t="s">
        <v>64</v>
      </c>
      <c r="D54" s="11">
        <v>1000.0</v>
      </c>
      <c r="E54" s="12">
        <v>550.0</v>
      </c>
      <c r="F54" s="9" t="s">
        <v>65</v>
      </c>
      <c r="G54" s="13">
        <f t="shared" si="1"/>
        <v>0.55</v>
      </c>
      <c r="H54" s="14">
        <v>100.0</v>
      </c>
      <c r="I54" s="13">
        <f t="shared" si="2"/>
        <v>0.55</v>
      </c>
      <c r="J54" s="15" t="s">
        <v>167</v>
      </c>
    </row>
    <row r="55" ht="15.0" customHeight="1">
      <c r="A55" s="16">
        <v>52.0</v>
      </c>
      <c r="B55" s="17" t="s">
        <v>168</v>
      </c>
      <c r="C55" s="16" t="s">
        <v>64</v>
      </c>
      <c r="D55" s="18">
        <v>1000.0</v>
      </c>
      <c r="E55" s="19">
        <v>200.0</v>
      </c>
      <c r="F55" s="16" t="s">
        <v>65</v>
      </c>
      <c r="G55" s="20">
        <f t="shared" si="1"/>
        <v>0.2</v>
      </c>
      <c r="H55" s="21">
        <v>100.0</v>
      </c>
      <c r="I55" s="20">
        <f t="shared" si="2"/>
        <v>0.2</v>
      </c>
      <c r="J55" s="22" t="s">
        <v>169</v>
      </c>
    </row>
    <row r="56" ht="15.0" customHeight="1">
      <c r="A56" s="9">
        <v>53.0</v>
      </c>
      <c r="B56" s="10" t="s">
        <v>170</v>
      </c>
      <c r="C56" s="9" t="s">
        <v>64</v>
      </c>
      <c r="D56" s="11">
        <v>1000.0</v>
      </c>
      <c r="E56" s="12">
        <v>30.0</v>
      </c>
      <c r="F56" s="9" t="s">
        <v>65</v>
      </c>
      <c r="G56" s="13">
        <f t="shared" si="1"/>
        <v>0.03</v>
      </c>
      <c r="H56" s="14">
        <v>100.0</v>
      </c>
      <c r="I56" s="13">
        <f t="shared" si="2"/>
        <v>0.03</v>
      </c>
      <c r="J56" s="15" t="s">
        <v>171</v>
      </c>
    </row>
    <row r="57" ht="15.0" customHeight="1">
      <c r="A57" s="16">
        <v>54.0</v>
      </c>
      <c r="B57" s="17" t="s">
        <v>172</v>
      </c>
      <c r="C57" s="16" t="s">
        <v>64</v>
      </c>
      <c r="D57" s="18">
        <v>1000.0</v>
      </c>
      <c r="E57" s="19">
        <v>1500.0</v>
      </c>
      <c r="F57" s="16" t="s">
        <v>65</v>
      </c>
      <c r="G57" s="20">
        <f t="shared" si="1"/>
        <v>1.5</v>
      </c>
      <c r="H57" s="21">
        <v>100.0</v>
      </c>
      <c r="I57" s="20">
        <f t="shared" si="2"/>
        <v>1.5</v>
      </c>
      <c r="J57" s="22" t="s">
        <v>173</v>
      </c>
    </row>
    <row r="58" ht="15.0" customHeight="1">
      <c r="A58" s="9">
        <v>55.0</v>
      </c>
      <c r="B58" s="10" t="s">
        <v>174</v>
      </c>
      <c r="C58" s="9" t="s">
        <v>64</v>
      </c>
      <c r="D58" s="11">
        <v>1000.0</v>
      </c>
      <c r="E58" s="12">
        <v>1200.0</v>
      </c>
      <c r="F58" s="9" t="s">
        <v>65</v>
      </c>
      <c r="G58" s="13">
        <f t="shared" si="1"/>
        <v>1.2</v>
      </c>
      <c r="H58" s="14">
        <v>100.0</v>
      </c>
      <c r="I58" s="13">
        <f t="shared" si="2"/>
        <v>1.2</v>
      </c>
      <c r="J58" s="15" t="s">
        <v>175</v>
      </c>
    </row>
    <row r="59" ht="15.0" customHeight="1">
      <c r="A59" s="16">
        <v>56.0</v>
      </c>
      <c r="B59" s="17" t="s">
        <v>176</v>
      </c>
      <c r="C59" s="16" t="s">
        <v>64</v>
      </c>
      <c r="D59" s="18">
        <v>1000.0</v>
      </c>
      <c r="E59" s="19">
        <v>600.0</v>
      </c>
      <c r="F59" s="16" t="s">
        <v>65</v>
      </c>
      <c r="G59" s="20">
        <f t="shared" si="1"/>
        <v>0.6</v>
      </c>
      <c r="H59" s="21">
        <v>100.0</v>
      </c>
      <c r="I59" s="20">
        <f t="shared" si="2"/>
        <v>0.6</v>
      </c>
      <c r="J59" s="22" t="s">
        <v>158</v>
      </c>
    </row>
    <row r="60" ht="15.0" customHeight="1">
      <c r="A60" s="9">
        <v>57.0</v>
      </c>
      <c r="B60" s="10" t="s">
        <v>177</v>
      </c>
      <c r="C60" s="9" t="s">
        <v>64</v>
      </c>
      <c r="D60" s="11">
        <v>1000.0</v>
      </c>
      <c r="E60" s="12">
        <v>600.0</v>
      </c>
      <c r="F60" s="9" t="s">
        <v>65</v>
      </c>
      <c r="G60" s="13">
        <f t="shared" si="1"/>
        <v>0.6</v>
      </c>
      <c r="H60" s="14">
        <v>100.0</v>
      </c>
      <c r="I60" s="13">
        <f t="shared" si="2"/>
        <v>0.6</v>
      </c>
      <c r="J60" s="15" t="s">
        <v>158</v>
      </c>
    </row>
    <row r="61" ht="15.0" customHeight="1">
      <c r="A61" s="16">
        <v>58.0</v>
      </c>
      <c r="B61" s="17" t="s">
        <v>178</v>
      </c>
      <c r="C61" s="16" t="s">
        <v>64</v>
      </c>
      <c r="D61" s="18">
        <v>1000.0</v>
      </c>
      <c r="E61" s="19">
        <v>1000.0</v>
      </c>
      <c r="F61" s="16" t="s">
        <v>65</v>
      </c>
      <c r="G61" s="20">
        <f t="shared" si="1"/>
        <v>1</v>
      </c>
      <c r="H61" s="21">
        <v>100.0</v>
      </c>
      <c r="I61" s="20">
        <f t="shared" si="2"/>
        <v>1</v>
      </c>
      <c r="J61" s="22" t="s">
        <v>88</v>
      </c>
    </row>
    <row r="62" ht="15.0" customHeight="1">
      <c r="A62" s="9">
        <v>59.0</v>
      </c>
      <c r="B62" s="10" t="s">
        <v>179</v>
      </c>
      <c r="C62" s="9" t="s">
        <v>64</v>
      </c>
      <c r="D62" s="11">
        <v>1000.0</v>
      </c>
      <c r="E62" s="12">
        <v>2000.0</v>
      </c>
      <c r="F62" s="9" t="s">
        <v>65</v>
      </c>
      <c r="G62" s="13">
        <f t="shared" si="1"/>
        <v>2</v>
      </c>
      <c r="H62" s="14">
        <v>100.0</v>
      </c>
      <c r="I62" s="13">
        <f t="shared" si="2"/>
        <v>2</v>
      </c>
      <c r="J62" s="15" t="s">
        <v>180</v>
      </c>
    </row>
    <row r="63" ht="15.0" customHeight="1">
      <c r="A63" s="16">
        <v>60.0</v>
      </c>
      <c r="B63" s="17" t="s">
        <v>181</v>
      </c>
      <c r="C63" s="16" t="s">
        <v>64</v>
      </c>
      <c r="D63" s="18">
        <v>1000.0</v>
      </c>
      <c r="E63" s="19">
        <v>1000.0</v>
      </c>
      <c r="F63" s="16" t="s">
        <v>65</v>
      </c>
      <c r="G63" s="20">
        <f t="shared" si="1"/>
        <v>1</v>
      </c>
      <c r="H63" s="21">
        <v>100.0</v>
      </c>
      <c r="I63" s="20">
        <f t="shared" si="2"/>
        <v>1</v>
      </c>
      <c r="J63" s="22" t="s">
        <v>88</v>
      </c>
    </row>
    <row r="64" ht="15.0" customHeight="1">
      <c r="A64" s="9">
        <v>61.0</v>
      </c>
      <c r="B64" s="10" t="s">
        <v>182</v>
      </c>
      <c r="C64" s="9" t="s">
        <v>64</v>
      </c>
      <c r="D64" s="11">
        <v>1000.0</v>
      </c>
      <c r="E64" s="12">
        <v>1000.0</v>
      </c>
      <c r="F64" s="9" t="s">
        <v>65</v>
      </c>
      <c r="G64" s="13">
        <f t="shared" si="1"/>
        <v>1</v>
      </c>
      <c r="H64" s="14">
        <v>100.0</v>
      </c>
      <c r="I64" s="13">
        <f t="shared" si="2"/>
        <v>1</v>
      </c>
      <c r="J64" s="15" t="s">
        <v>88</v>
      </c>
    </row>
    <row r="65" ht="15.0" customHeight="1">
      <c r="A65" s="16">
        <v>62.0</v>
      </c>
      <c r="B65" s="17" t="s">
        <v>183</v>
      </c>
      <c r="C65" s="16" t="s">
        <v>94</v>
      </c>
      <c r="D65" s="18">
        <v>1.0</v>
      </c>
      <c r="E65" s="19">
        <v>10.0</v>
      </c>
      <c r="F65" s="16" t="s">
        <v>94</v>
      </c>
      <c r="G65" s="20">
        <f t="shared" si="1"/>
        <v>10</v>
      </c>
      <c r="H65" s="21">
        <v>100.0</v>
      </c>
      <c r="I65" s="20">
        <f t="shared" si="2"/>
        <v>10</v>
      </c>
      <c r="J65" s="22" t="s">
        <v>184</v>
      </c>
    </row>
    <row r="66" ht="15.0" customHeight="1">
      <c r="A66" s="9">
        <v>63.0</v>
      </c>
      <c r="B66" s="10" t="s">
        <v>185</v>
      </c>
      <c r="C66" s="9" t="s">
        <v>94</v>
      </c>
      <c r="D66" s="11">
        <v>1.0</v>
      </c>
      <c r="E66" s="12">
        <v>3.0</v>
      </c>
      <c r="F66" s="9" t="s">
        <v>94</v>
      </c>
      <c r="G66" s="13">
        <f t="shared" si="1"/>
        <v>3</v>
      </c>
      <c r="H66" s="14">
        <v>100.0</v>
      </c>
      <c r="I66" s="13">
        <f t="shared" si="2"/>
        <v>3</v>
      </c>
      <c r="J66" s="15" t="s">
        <v>186</v>
      </c>
    </row>
    <row r="67" ht="15.0" customHeight="1">
      <c r="A67" s="16">
        <v>64.0</v>
      </c>
      <c r="B67" s="17" t="s">
        <v>187</v>
      </c>
      <c r="C67" s="16" t="s">
        <v>94</v>
      </c>
      <c r="D67" s="18">
        <v>1.0</v>
      </c>
      <c r="E67" s="19">
        <v>80.0</v>
      </c>
      <c r="F67" s="16" t="s">
        <v>94</v>
      </c>
      <c r="G67" s="20">
        <f t="shared" si="1"/>
        <v>80</v>
      </c>
      <c r="H67" s="21">
        <v>100.0</v>
      </c>
      <c r="I67" s="20">
        <f t="shared" si="2"/>
        <v>80</v>
      </c>
      <c r="J67" s="22" t="s">
        <v>188</v>
      </c>
    </row>
    <row r="68" ht="15.0" customHeight="1">
      <c r="A68" s="9">
        <v>65.0</v>
      </c>
      <c r="B68" s="10" t="s">
        <v>189</v>
      </c>
      <c r="C68" s="9" t="s">
        <v>190</v>
      </c>
      <c r="D68" s="11">
        <v>1.0</v>
      </c>
      <c r="E68" s="12">
        <v>28.0</v>
      </c>
      <c r="F68" s="9" t="s">
        <v>94</v>
      </c>
      <c r="G68" s="13">
        <f t="shared" si="1"/>
        <v>28</v>
      </c>
      <c r="H68" s="14">
        <v>100.0</v>
      </c>
      <c r="I68" s="13">
        <f t="shared" si="2"/>
        <v>28</v>
      </c>
      <c r="J68" s="15" t="s">
        <v>191</v>
      </c>
    </row>
    <row r="69" ht="15.0" customHeight="1">
      <c r="A69" s="16">
        <v>66.0</v>
      </c>
      <c r="B69" s="17" t="s">
        <v>192</v>
      </c>
      <c r="C69" s="16" t="s">
        <v>64</v>
      </c>
      <c r="D69" s="18">
        <v>1000.0</v>
      </c>
      <c r="E69" s="19">
        <v>2500.0</v>
      </c>
      <c r="F69" s="16" t="s">
        <v>65</v>
      </c>
      <c r="G69" s="20">
        <f t="shared" si="1"/>
        <v>2.5</v>
      </c>
      <c r="H69" s="21">
        <v>100.0</v>
      </c>
      <c r="I69" s="20">
        <f t="shared" si="2"/>
        <v>2.5</v>
      </c>
      <c r="J69" s="22" t="s">
        <v>193</v>
      </c>
    </row>
    <row r="70" ht="15.0" customHeight="1">
      <c r="A70" s="9">
        <v>67.0</v>
      </c>
      <c r="B70" s="10" t="s">
        <v>194</v>
      </c>
      <c r="C70" s="9" t="s">
        <v>64</v>
      </c>
      <c r="D70" s="11">
        <v>1000.0</v>
      </c>
      <c r="E70" s="12">
        <v>1200.0</v>
      </c>
      <c r="F70" s="9" t="s">
        <v>65</v>
      </c>
      <c r="G70" s="13">
        <f t="shared" si="1"/>
        <v>1.2</v>
      </c>
      <c r="H70" s="14">
        <v>100.0</v>
      </c>
      <c r="I70" s="13">
        <f t="shared" si="2"/>
        <v>1.2</v>
      </c>
      <c r="J70" s="15" t="s">
        <v>175</v>
      </c>
    </row>
    <row r="71" ht="15.0" customHeight="1">
      <c r="A71" s="16">
        <v>68.0</v>
      </c>
      <c r="B71" s="17" t="s">
        <v>195</v>
      </c>
      <c r="C71" s="16" t="s">
        <v>64</v>
      </c>
      <c r="D71" s="18">
        <v>1000.0</v>
      </c>
      <c r="E71" s="19">
        <v>900.0</v>
      </c>
      <c r="F71" s="16" t="s">
        <v>65</v>
      </c>
      <c r="G71" s="20">
        <f t="shared" si="1"/>
        <v>0.9</v>
      </c>
      <c r="H71" s="21">
        <v>100.0</v>
      </c>
      <c r="I71" s="20">
        <f t="shared" si="2"/>
        <v>0.9</v>
      </c>
      <c r="J71" s="22" t="s">
        <v>101</v>
      </c>
    </row>
    <row r="72" ht="15.0" customHeight="1">
      <c r="A72" s="9">
        <v>69.0</v>
      </c>
      <c r="B72" s="10" t="s">
        <v>196</v>
      </c>
      <c r="C72" s="9" t="s">
        <v>103</v>
      </c>
      <c r="D72" s="11">
        <v>1000.0</v>
      </c>
      <c r="E72" s="12">
        <v>600.0</v>
      </c>
      <c r="F72" s="9" t="s">
        <v>104</v>
      </c>
      <c r="G72" s="13">
        <f t="shared" si="1"/>
        <v>0.6</v>
      </c>
      <c r="H72" s="14">
        <v>100.0</v>
      </c>
      <c r="I72" s="13">
        <f t="shared" si="2"/>
        <v>0.6</v>
      </c>
      <c r="J72" s="15" t="s">
        <v>197</v>
      </c>
    </row>
    <row r="73" ht="15.0" customHeight="1">
      <c r="A73" s="16">
        <v>70.0</v>
      </c>
      <c r="B73" s="17" t="s">
        <v>198</v>
      </c>
      <c r="C73" s="16" t="s">
        <v>64</v>
      </c>
      <c r="D73" s="18">
        <v>1000.0</v>
      </c>
      <c r="E73" s="19">
        <v>160.0</v>
      </c>
      <c r="F73" s="16" t="s">
        <v>65</v>
      </c>
      <c r="G73" s="20">
        <f t="shared" si="1"/>
        <v>0.16</v>
      </c>
      <c r="H73" s="21">
        <v>100.0</v>
      </c>
      <c r="I73" s="20">
        <f t="shared" si="2"/>
        <v>0.16</v>
      </c>
      <c r="J73" s="22" t="s">
        <v>199</v>
      </c>
    </row>
    <row r="74" ht="15.0" customHeight="1">
      <c r="A74" s="9">
        <v>71.0</v>
      </c>
      <c r="B74" s="10" t="s">
        <v>200</v>
      </c>
      <c r="C74" s="9" t="s">
        <v>64</v>
      </c>
      <c r="D74" s="11">
        <v>1000.0</v>
      </c>
      <c r="E74" s="12">
        <v>200.0</v>
      </c>
      <c r="F74" s="9" t="s">
        <v>65</v>
      </c>
      <c r="G74" s="13">
        <f t="shared" si="1"/>
        <v>0.2</v>
      </c>
      <c r="H74" s="14">
        <v>70.0</v>
      </c>
      <c r="I74" s="13">
        <f t="shared" si="2"/>
        <v>0.2857142857</v>
      </c>
      <c r="J74" s="15" t="s">
        <v>169</v>
      </c>
    </row>
    <row r="75" ht="15.0" customHeight="1">
      <c r="A75" s="16">
        <v>72.0</v>
      </c>
      <c r="B75" s="17" t="s">
        <v>201</v>
      </c>
      <c r="C75" s="16" t="s">
        <v>64</v>
      </c>
      <c r="D75" s="18">
        <v>1000.0</v>
      </c>
      <c r="E75" s="19">
        <v>120.0</v>
      </c>
      <c r="F75" s="16" t="s">
        <v>65</v>
      </c>
      <c r="G75" s="20">
        <f t="shared" si="1"/>
        <v>0.12</v>
      </c>
      <c r="H75" s="21">
        <v>65.0</v>
      </c>
      <c r="I75" s="20">
        <f t="shared" si="2"/>
        <v>0.1846153846</v>
      </c>
      <c r="J75" s="22" t="s">
        <v>146</v>
      </c>
    </row>
    <row r="76" ht="15.0" customHeight="1">
      <c r="A76" s="9">
        <v>73.0</v>
      </c>
      <c r="B76" s="10" t="s">
        <v>202</v>
      </c>
      <c r="C76" s="9" t="s">
        <v>64</v>
      </c>
      <c r="D76" s="11">
        <v>1000.0</v>
      </c>
      <c r="E76" s="12">
        <v>100.0</v>
      </c>
      <c r="F76" s="9" t="s">
        <v>65</v>
      </c>
      <c r="G76" s="13">
        <f t="shared" si="1"/>
        <v>0.1</v>
      </c>
      <c r="H76" s="14">
        <v>55.0</v>
      </c>
      <c r="I76" s="13">
        <f t="shared" si="2"/>
        <v>0.1818181818</v>
      </c>
      <c r="J76" s="15" t="s">
        <v>203</v>
      </c>
    </row>
    <row r="77" ht="15.0" customHeight="1">
      <c r="A77" s="16">
        <v>74.0</v>
      </c>
      <c r="B77" s="17" t="s">
        <v>204</v>
      </c>
      <c r="C77" s="16" t="s">
        <v>103</v>
      </c>
      <c r="D77" s="18">
        <v>1000.0</v>
      </c>
      <c r="E77" s="19">
        <v>800.0</v>
      </c>
      <c r="F77" s="16" t="s">
        <v>104</v>
      </c>
      <c r="G77" s="20">
        <f t="shared" si="1"/>
        <v>0.8</v>
      </c>
      <c r="H77" s="21">
        <v>100.0</v>
      </c>
      <c r="I77" s="20">
        <f t="shared" si="2"/>
        <v>0.8</v>
      </c>
      <c r="J77" s="22" t="s">
        <v>205</v>
      </c>
    </row>
    <row r="78" ht="15.0" customHeight="1">
      <c r="A78" s="9">
        <v>75.0</v>
      </c>
      <c r="B78" s="10" t="s">
        <v>206</v>
      </c>
      <c r="C78" s="9" t="s">
        <v>64</v>
      </c>
      <c r="D78" s="11">
        <v>1000.0</v>
      </c>
      <c r="E78" s="12">
        <v>900.0</v>
      </c>
      <c r="F78" s="9" t="s">
        <v>65</v>
      </c>
      <c r="G78" s="13">
        <f t="shared" si="1"/>
        <v>0.9</v>
      </c>
      <c r="H78" s="14">
        <v>100.0</v>
      </c>
      <c r="I78" s="13">
        <f t="shared" si="2"/>
        <v>0.9</v>
      </c>
      <c r="J78" s="15" t="s">
        <v>101</v>
      </c>
    </row>
    <row r="79" ht="15.0" customHeight="1">
      <c r="A79" s="16">
        <v>76.0</v>
      </c>
      <c r="B79" s="17" t="s">
        <v>207</v>
      </c>
      <c r="C79" s="16" t="s">
        <v>103</v>
      </c>
      <c r="D79" s="18">
        <v>1000.0</v>
      </c>
      <c r="E79" s="19">
        <v>700.0</v>
      </c>
      <c r="F79" s="16" t="s">
        <v>104</v>
      </c>
      <c r="G79" s="20">
        <f t="shared" si="1"/>
        <v>0.7</v>
      </c>
      <c r="H79" s="21">
        <v>100.0</v>
      </c>
      <c r="I79" s="20">
        <f t="shared" si="2"/>
        <v>0.7</v>
      </c>
      <c r="J79" s="22" t="s">
        <v>165</v>
      </c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</sheetData>
  <mergeCells count="2">
    <mergeCell ref="A1:J1"/>
    <mergeCell ref="A2:J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34.0"/>
    <col customWidth="1" min="3" max="3" width="28.0"/>
    <col customWidth="1" min="4" max="4" width="16.0"/>
    <col customWidth="1" min="5" max="5" width="10.0"/>
    <col customWidth="1" min="6" max="6" width="8.0"/>
    <col customWidth="1" min="7" max="7" width="15.0"/>
    <col customWidth="1" min="8" max="8" width="14.0"/>
    <col customWidth="1" min="9" max="26" width="8.71"/>
  </cols>
  <sheetData>
    <row r="1" ht="30.0" customHeight="1">
      <c r="A1" s="1" t="s">
        <v>208</v>
      </c>
      <c r="B1" s="2"/>
      <c r="C1" s="2"/>
      <c r="D1" s="2"/>
      <c r="E1" s="2"/>
      <c r="F1" s="2"/>
      <c r="G1" s="2"/>
      <c r="H1" s="3"/>
    </row>
    <row r="2" ht="15.0" customHeight="1">
      <c r="A2" s="7" t="s">
        <v>209</v>
      </c>
    </row>
    <row r="3" ht="26.25" customHeight="1">
      <c r="A3" s="8" t="s">
        <v>210</v>
      </c>
      <c r="B3" s="8" t="s">
        <v>211</v>
      </c>
      <c r="C3" s="8" t="s">
        <v>212</v>
      </c>
      <c r="D3" s="8" t="s">
        <v>213</v>
      </c>
      <c r="E3" s="8" t="s">
        <v>214</v>
      </c>
      <c r="F3" s="8" t="s">
        <v>58</v>
      </c>
      <c r="G3" s="8" t="s">
        <v>215</v>
      </c>
      <c r="H3" s="8" t="s">
        <v>216</v>
      </c>
    </row>
    <row r="4" ht="15.0" customHeight="1">
      <c r="A4" s="9" t="s">
        <v>217</v>
      </c>
      <c r="B4" s="9" t="s">
        <v>218</v>
      </c>
      <c r="C4" s="9" t="s">
        <v>63</v>
      </c>
      <c r="D4" s="9" t="s">
        <v>219</v>
      </c>
      <c r="E4" s="12">
        <v>200.0</v>
      </c>
      <c r="F4" s="9" t="s">
        <v>65</v>
      </c>
      <c r="G4" s="23">
        <f>VLOOKUP(C4,Ingredient_Master!$B$4:$I$79,8,FALSE())</f>
        <v>0.9375</v>
      </c>
      <c r="H4" s="13">
        <f t="shared" ref="H4:H288" si="1">E4*G4</f>
        <v>187.5</v>
      </c>
    </row>
    <row r="5" ht="15.0" customHeight="1">
      <c r="A5" s="9" t="s">
        <v>217</v>
      </c>
      <c r="B5" s="9" t="s">
        <v>218</v>
      </c>
      <c r="C5" s="9" t="s">
        <v>102</v>
      </c>
      <c r="D5" s="9" t="s">
        <v>220</v>
      </c>
      <c r="E5" s="12">
        <v>5.0</v>
      </c>
      <c r="F5" s="9" t="s">
        <v>104</v>
      </c>
      <c r="G5" s="23">
        <f>VLOOKUP(C5,Ingredient_Master!$B$4:$I$79,8,FALSE())</f>
        <v>0.32</v>
      </c>
      <c r="H5" s="13">
        <f t="shared" si="1"/>
        <v>1.6</v>
      </c>
    </row>
    <row r="6" ht="15.0" customHeight="1">
      <c r="A6" s="9" t="s">
        <v>217</v>
      </c>
      <c r="B6" s="9" t="s">
        <v>218</v>
      </c>
      <c r="C6" s="9" t="s">
        <v>170</v>
      </c>
      <c r="D6" s="9" t="s">
        <v>221</v>
      </c>
      <c r="E6" s="12">
        <v>3.0</v>
      </c>
      <c r="F6" s="9" t="s">
        <v>65</v>
      </c>
      <c r="G6" s="23">
        <f>VLOOKUP(C6,Ingredient_Master!$B$4:$I$79,8,FALSE())</f>
        <v>0.03</v>
      </c>
      <c r="H6" s="13">
        <f t="shared" si="1"/>
        <v>0.09</v>
      </c>
    </row>
    <row r="7" ht="15.0" customHeight="1">
      <c r="A7" s="9" t="s">
        <v>217</v>
      </c>
      <c r="B7" s="9" t="s">
        <v>218</v>
      </c>
      <c r="C7" s="9" t="s">
        <v>172</v>
      </c>
      <c r="D7" s="9" t="s">
        <v>221</v>
      </c>
      <c r="E7" s="12">
        <v>1.25</v>
      </c>
      <c r="F7" s="9" t="s">
        <v>65</v>
      </c>
      <c r="G7" s="23">
        <f>VLOOKUP(C7,Ingredient_Master!$B$4:$I$79,8,FALSE())</f>
        <v>1.5</v>
      </c>
      <c r="H7" s="13">
        <f t="shared" si="1"/>
        <v>1.875</v>
      </c>
    </row>
    <row r="8" ht="15.0" customHeight="1">
      <c r="A8" s="9" t="s">
        <v>217</v>
      </c>
      <c r="B8" s="9" t="s">
        <v>218</v>
      </c>
      <c r="C8" s="9" t="s">
        <v>174</v>
      </c>
      <c r="D8" s="9" t="s">
        <v>221</v>
      </c>
      <c r="E8" s="12">
        <v>1.25</v>
      </c>
      <c r="F8" s="9" t="s">
        <v>65</v>
      </c>
      <c r="G8" s="23">
        <f>VLOOKUP(C8,Ingredient_Master!$B$4:$I$79,8,FALSE())</f>
        <v>1.2</v>
      </c>
      <c r="H8" s="13">
        <f t="shared" si="1"/>
        <v>1.5</v>
      </c>
    </row>
    <row r="9" ht="15.0" customHeight="1">
      <c r="A9" s="9" t="s">
        <v>217</v>
      </c>
      <c r="B9" s="9" t="s">
        <v>218</v>
      </c>
      <c r="C9" s="9" t="s">
        <v>139</v>
      </c>
      <c r="D9" s="9" t="s">
        <v>222</v>
      </c>
      <c r="E9" s="12">
        <v>3.0</v>
      </c>
      <c r="F9" s="9" t="s">
        <v>65</v>
      </c>
      <c r="G9" s="23">
        <f>VLOOKUP(C9,Ingredient_Master!$B$4:$I$79,8,FALSE())</f>
        <v>0.5555555556</v>
      </c>
      <c r="H9" s="13">
        <f t="shared" si="1"/>
        <v>1.666666667</v>
      </c>
    </row>
    <row r="10" ht="15.0" customHeight="1">
      <c r="A10" s="9" t="s">
        <v>217</v>
      </c>
      <c r="B10" s="9" t="s">
        <v>218</v>
      </c>
      <c r="C10" s="9" t="s">
        <v>179</v>
      </c>
      <c r="D10" s="9" t="s">
        <v>223</v>
      </c>
      <c r="E10" s="12">
        <v>1.25</v>
      </c>
      <c r="F10" s="9" t="s">
        <v>65</v>
      </c>
      <c r="G10" s="23">
        <f>VLOOKUP(C10,Ingredient_Master!$B$4:$I$79,8,FALSE())</f>
        <v>2</v>
      </c>
      <c r="H10" s="13">
        <f t="shared" si="1"/>
        <v>2.5</v>
      </c>
    </row>
    <row r="11" ht="15.0" customHeight="1">
      <c r="A11" s="9" t="s">
        <v>217</v>
      </c>
      <c r="B11" s="9" t="s">
        <v>218</v>
      </c>
      <c r="C11" s="9" t="s">
        <v>149</v>
      </c>
      <c r="D11" s="9" t="s">
        <v>224</v>
      </c>
      <c r="E11" s="12">
        <v>0.2</v>
      </c>
      <c r="F11" s="9" t="s">
        <v>94</v>
      </c>
      <c r="G11" s="23">
        <f>VLOOKUP(C11,Ingredient_Master!$B$4:$I$79,8,FALSE())</f>
        <v>15</v>
      </c>
      <c r="H11" s="13">
        <f t="shared" si="1"/>
        <v>3</v>
      </c>
    </row>
    <row r="12" ht="15.0" customHeight="1">
      <c r="A12" s="9" t="s">
        <v>217</v>
      </c>
      <c r="B12" s="9" t="s">
        <v>218</v>
      </c>
      <c r="C12" s="9" t="s">
        <v>189</v>
      </c>
      <c r="D12" s="9" t="s">
        <v>225</v>
      </c>
      <c r="E12" s="12">
        <v>1.0</v>
      </c>
      <c r="F12" s="9" t="s">
        <v>94</v>
      </c>
      <c r="G12" s="23">
        <f>VLOOKUP(C12,Ingredient_Master!$B$4:$I$79,8,FALSE())</f>
        <v>28</v>
      </c>
      <c r="H12" s="13">
        <f t="shared" si="1"/>
        <v>28</v>
      </c>
    </row>
    <row r="13" ht="15.0" customHeight="1">
      <c r="A13" s="9" t="s">
        <v>226</v>
      </c>
      <c r="B13" s="9" t="s">
        <v>227</v>
      </c>
      <c r="C13" s="9" t="s">
        <v>67</v>
      </c>
      <c r="D13" s="9" t="s">
        <v>228</v>
      </c>
      <c r="E13" s="12">
        <v>225.0</v>
      </c>
      <c r="F13" s="9" t="s">
        <v>65</v>
      </c>
      <c r="G13" s="23">
        <f>VLOOKUP(C13,Ingredient_Master!$B$4:$I$79,8,FALSE())</f>
        <v>1.058823529</v>
      </c>
      <c r="H13" s="13">
        <f t="shared" si="1"/>
        <v>238.2352941</v>
      </c>
    </row>
    <row r="14" ht="15.0" customHeight="1">
      <c r="A14" s="9" t="s">
        <v>226</v>
      </c>
      <c r="B14" s="9" t="s">
        <v>227</v>
      </c>
      <c r="C14" s="9" t="s">
        <v>170</v>
      </c>
      <c r="D14" s="9" t="s">
        <v>229</v>
      </c>
      <c r="E14" s="12">
        <v>3.0</v>
      </c>
      <c r="F14" s="9" t="s">
        <v>65</v>
      </c>
      <c r="G14" s="23">
        <f>VLOOKUP(C14,Ingredient_Master!$B$4:$I$79,8,FALSE())</f>
        <v>0.03</v>
      </c>
      <c r="H14" s="13">
        <f t="shared" si="1"/>
        <v>0.09</v>
      </c>
    </row>
    <row r="15" ht="15.0" customHeight="1">
      <c r="A15" s="9" t="s">
        <v>226</v>
      </c>
      <c r="B15" s="9" t="s">
        <v>227</v>
      </c>
      <c r="C15" s="9" t="s">
        <v>172</v>
      </c>
      <c r="D15" s="9" t="s">
        <v>230</v>
      </c>
      <c r="E15" s="12">
        <v>1.5</v>
      </c>
      <c r="F15" s="9" t="s">
        <v>65</v>
      </c>
      <c r="G15" s="23">
        <f>VLOOKUP(C15,Ingredient_Master!$B$4:$I$79,8,FALSE())</f>
        <v>1.5</v>
      </c>
      <c r="H15" s="13">
        <f t="shared" si="1"/>
        <v>2.25</v>
      </c>
    </row>
    <row r="16" ht="15.0" customHeight="1">
      <c r="A16" s="9" t="s">
        <v>226</v>
      </c>
      <c r="B16" s="9" t="s">
        <v>227</v>
      </c>
      <c r="C16" s="9" t="s">
        <v>102</v>
      </c>
      <c r="D16" s="9" t="s">
        <v>231</v>
      </c>
      <c r="E16" s="12">
        <v>20.0</v>
      </c>
      <c r="F16" s="9" t="s">
        <v>104</v>
      </c>
      <c r="G16" s="23">
        <f>VLOOKUP(C16,Ingredient_Master!$B$4:$I$79,8,FALSE())</f>
        <v>0.32</v>
      </c>
      <c r="H16" s="13">
        <f t="shared" si="1"/>
        <v>6.4</v>
      </c>
    </row>
    <row r="17" ht="15.0" customHeight="1">
      <c r="A17" s="9" t="s">
        <v>226</v>
      </c>
      <c r="B17" s="9" t="s">
        <v>227</v>
      </c>
      <c r="C17" s="9" t="s">
        <v>100</v>
      </c>
      <c r="D17" s="9" t="s">
        <v>232</v>
      </c>
      <c r="E17" s="12">
        <v>14.0</v>
      </c>
      <c r="F17" s="9" t="s">
        <v>65</v>
      </c>
      <c r="G17" s="23">
        <f>VLOOKUP(C17,Ingredient_Master!$B$4:$I$79,8,FALSE())</f>
        <v>0.9</v>
      </c>
      <c r="H17" s="13">
        <f t="shared" si="1"/>
        <v>12.6</v>
      </c>
    </row>
    <row r="18" ht="15.0" customHeight="1">
      <c r="A18" s="9" t="s">
        <v>226</v>
      </c>
      <c r="B18" s="9" t="s">
        <v>227</v>
      </c>
      <c r="C18" s="9" t="s">
        <v>139</v>
      </c>
      <c r="D18" s="9" t="s">
        <v>233</v>
      </c>
      <c r="E18" s="12">
        <v>6.0</v>
      </c>
      <c r="F18" s="9" t="s">
        <v>65</v>
      </c>
      <c r="G18" s="23">
        <f>VLOOKUP(C18,Ingredient_Master!$B$4:$I$79,8,FALSE())</f>
        <v>0.5555555556</v>
      </c>
      <c r="H18" s="13">
        <f t="shared" si="1"/>
        <v>3.333333333</v>
      </c>
    </row>
    <row r="19" ht="15.0" customHeight="1">
      <c r="A19" s="9" t="s">
        <v>226</v>
      </c>
      <c r="B19" s="9" t="s">
        <v>227</v>
      </c>
      <c r="C19" s="9" t="s">
        <v>179</v>
      </c>
      <c r="D19" s="9" t="s">
        <v>234</v>
      </c>
      <c r="E19" s="12">
        <v>1.0</v>
      </c>
      <c r="F19" s="9" t="s">
        <v>65</v>
      </c>
      <c r="G19" s="23">
        <f>VLOOKUP(C19,Ingredient_Master!$B$4:$I$79,8,FALSE())</f>
        <v>2</v>
      </c>
      <c r="H19" s="13">
        <f t="shared" si="1"/>
        <v>2</v>
      </c>
    </row>
    <row r="20" ht="15.0" customHeight="1">
      <c r="A20" s="9" t="s">
        <v>226</v>
      </c>
      <c r="B20" s="9" t="s">
        <v>227</v>
      </c>
      <c r="C20" s="9" t="s">
        <v>132</v>
      </c>
      <c r="D20" s="9" t="s">
        <v>235</v>
      </c>
      <c r="E20" s="12">
        <v>200.0</v>
      </c>
      <c r="F20" s="9" t="s">
        <v>65</v>
      </c>
      <c r="G20" s="23">
        <f>VLOOKUP(C20,Ingredient_Master!$B$4:$I$79,8,FALSE())</f>
        <v>0.1066666667</v>
      </c>
      <c r="H20" s="13">
        <f t="shared" si="1"/>
        <v>21.33333333</v>
      </c>
    </row>
    <row r="21" ht="15.0" customHeight="1">
      <c r="A21" s="9" t="s">
        <v>226</v>
      </c>
      <c r="B21" s="9" t="s">
        <v>227</v>
      </c>
      <c r="C21" s="9" t="s">
        <v>189</v>
      </c>
      <c r="D21" s="9" t="s">
        <v>236</v>
      </c>
      <c r="E21" s="12">
        <v>1.0</v>
      </c>
      <c r="F21" s="9" t="s">
        <v>94</v>
      </c>
      <c r="G21" s="23">
        <f>VLOOKUP(C21,Ingredient_Master!$B$4:$I$79,8,FALSE())</f>
        <v>28</v>
      </c>
      <c r="H21" s="13">
        <f t="shared" si="1"/>
        <v>28</v>
      </c>
    </row>
    <row r="22" ht="15.0" customHeight="1">
      <c r="A22" s="9" t="s">
        <v>237</v>
      </c>
      <c r="B22" s="9" t="s">
        <v>238</v>
      </c>
      <c r="C22" s="9" t="s">
        <v>67</v>
      </c>
      <c r="D22" s="9" t="s">
        <v>239</v>
      </c>
      <c r="E22" s="12">
        <v>300.0</v>
      </c>
      <c r="F22" s="9" t="s">
        <v>65</v>
      </c>
      <c r="G22" s="23">
        <f>VLOOKUP(C22,Ingredient_Master!$B$4:$I$79,8,FALSE())</f>
        <v>1.058823529</v>
      </c>
      <c r="H22" s="13">
        <f t="shared" si="1"/>
        <v>317.6470588</v>
      </c>
    </row>
    <row r="23" ht="15.0" customHeight="1">
      <c r="A23" s="9" t="s">
        <v>237</v>
      </c>
      <c r="B23" s="9" t="s">
        <v>238</v>
      </c>
      <c r="C23" s="9" t="s">
        <v>160</v>
      </c>
      <c r="D23" s="9" t="s">
        <v>232</v>
      </c>
      <c r="E23" s="12">
        <v>15.0</v>
      </c>
      <c r="F23" s="9" t="s">
        <v>104</v>
      </c>
      <c r="G23" s="23">
        <f>VLOOKUP(C23,Ingredient_Master!$B$4:$I$79,8,FALSE())</f>
        <v>0.4</v>
      </c>
      <c r="H23" s="13">
        <f t="shared" si="1"/>
        <v>6</v>
      </c>
    </row>
    <row r="24" ht="15.0" customHeight="1">
      <c r="A24" s="9" t="s">
        <v>237</v>
      </c>
      <c r="B24" s="9" t="s">
        <v>238</v>
      </c>
      <c r="C24" s="9" t="s">
        <v>162</v>
      </c>
      <c r="D24" s="9" t="s">
        <v>232</v>
      </c>
      <c r="E24" s="12">
        <v>15.0</v>
      </c>
      <c r="F24" s="9" t="s">
        <v>65</v>
      </c>
      <c r="G24" s="23">
        <f>VLOOKUP(C24,Ingredient_Master!$B$4:$I$79,8,FALSE())</f>
        <v>0.8</v>
      </c>
      <c r="H24" s="13">
        <f t="shared" si="1"/>
        <v>12</v>
      </c>
    </row>
    <row r="25" ht="15.0" customHeight="1">
      <c r="A25" s="9" t="s">
        <v>237</v>
      </c>
      <c r="B25" s="9" t="s">
        <v>238</v>
      </c>
      <c r="C25" s="9" t="s">
        <v>172</v>
      </c>
      <c r="D25" s="9" t="s">
        <v>220</v>
      </c>
      <c r="E25" s="12">
        <v>2.5</v>
      </c>
      <c r="F25" s="9" t="s">
        <v>65</v>
      </c>
      <c r="G25" s="23">
        <f>VLOOKUP(C25,Ingredient_Master!$B$4:$I$79,8,FALSE())</f>
        <v>1.5</v>
      </c>
      <c r="H25" s="13">
        <f t="shared" si="1"/>
        <v>3.75</v>
      </c>
    </row>
    <row r="26" ht="15.0" customHeight="1">
      <c r="A26" s="9" t="s">
        <v>237</v>
      </c>
      <c r="B26" s="9" t="s">
        <v>238</v>
      </c>
      <c r="C26" s="9" t="s">
        <v>168</v>
      </c>
      <c r="D26" s="9" t="s">
        <v>220</v>
      </c>
      <c r="E26" s="12">
        <v>3.0</v>
      </c>
      <c r="F26" s="9" t="s">
        <v>65</v>
      </c>
      <c r="G26" s="23">
        <f>VLOOKUP(C26,Ingredient_Master!$B$4:$I$79,8,FALSE())</f>
        <v>0.2</v>
      </c>
      <c r="H26" s="13">
        <f t="shared" si="1"/>
        <v>0.6</v>
      </c>
    </row>
    <row r="27" ht="15.0" customHeight="1">
      <c r="A27" s="9" t="s">
        <v>237</v>
      </c>
      <c r="B27" s="9" t="s">
        <v>238</v>
      </c>
      <c r="C27" s="9" t="s">
        <v>102</v>
      </c>
      <c r="D27" s="9" t="s">
        <v>240</v>
      </c>
      <c r="E27" s="12">
        <v>30.0</v>
      </c>
      <c r="F27" s="9" t="s">
        <v>104</v>
      </c>
      <c r="G27" s="23">
        <f>VLOOKUP(C27,Ingredient_Master!$B$4:$I$79,8,FALSE())</f>
        <v>0.32</v>
      </c>
      <c r="H27" s="13">
        <f t="shared" si="1"/>
        <v>9.6</v>
      </c>
    </row>
    <row r="28" ht="15.0" customHeight="1">
      <c r="A28" s="9" t="s">
        <v>237</v>
      </c>
      <c r="B28" s="9" t="s">
        <v>238</v>
      </c>
      <c r="C28" s="9" t="s">
        <v>134</v>
      </c>
      <c r="D28" s="9" t="s">
        <v>241</v>
      </c>
      <c r="E28" s="12">
        <v>110.0</v>
      </c>
      <c r="F28" s="9" t="s">
        <v>65</v>
      </c>
      <c r="G28" s="23">
        <f>VLOOKUP(C28,Ingredient_Master!$B$4:$I$79,8,FALSE())</f>
        <v>0.1333333333</v>
      </c>
      <c r="H28" s="13">
        <f t="shared" si="1"/>
        <v>14.66666667</v>
      </c>
    </row>
    <row r="29" ht="15.0" customHeight="1">
      <c r="A29" s="9" t="s">
        <v>237</v>
      </c>
      <c r="B29" s="9" t="s">
        <v>238</v>
      </c>
      <c r="C29" s="9" t="s">
        <v>143</v>
      </c>
      <c r="D29" s="9" t="s">
        <v>242</v>
      </c>
      <c r="E29" s="12">
        <v>240.0</v>
      </c>
      <c r="F29" s="9" t="s">
        <v>65</v>
      </c>
      <c r="G29" s="23">
        <f>VLOOKUP(C29,Ingredient_Master!$B$4:$I$79,8,FALSE())</f>
        <v>0.2352941176</v>
      </c>
      <c r="H29" s="13">
        <f t="shared" si="1"/>
        <v>56.47058824</v>
      </c>
    </row>
    <row r="30" ht="15.0" customHeight="1">
      <c r="A30" s="9" t="s">
        <v>237</v>
      </c>
      <c r="B30" s="9" t="s">
        <v>238</v>
      </c>
      <c r="C30" s="9" t="s">
        <v>139</v>
      </c>
      <c r="D30" s="9" t="s">
        <v>233</v>
      </c>
      <c r="E30" s="12">
        <v>6.0</v>
      </c>
      <c r="F30" s="9" t="s">
        <v>65</v>
      </c>
      <c r="G30" s="23">
        <f>VLOOKUP(C30,Ingredient_Master!$B$4:$I$79,8,FALSE())</f>
        <v>0.5555555556</v>
      </c>
      <c r="H30" s="13">
        <f t="shared" si="1"/>
        <v>3.333333333</v>
      </c>
    </row>
    <row r="31" ht="15.0" customHeight="1">
      <c r="A31" s="9" t="s">
        <v>237</v>
      </c>
      <c r="B31" s="9" t="s">
        <v>238</v>
      </c>
      <c r="C31" s="9" t="s">
        <v>141</v>
      </c>
      <c r="D31" s="9" t="s">
        <v>220</v>
      </c>
      <c r="E31" s="12">
        <v>3.0</v>
      </c>
      <c r="F31" s="9" t="s">
        <v>65</v>
      </c>
      <c r="G31" s="23">
        <f>VLOOKUP(C31,Ingredient_Master!$B$4:$I$79,8,FALSE())</f>
        <v>0.4705882353</v>
      </c>
      <c r="H31" s="13">
        <f t="shared" si="1"/>
        <v>1.411764706</v>
      </c>
    </row>
    <row r="32" ht="15.0" customHeight="1">
      <c r="A32" s="9" t="s">
        <v>237</v>
      </c>
      <c r="B32" s="9" t="s">
        <v>238</v>
      </c>
      <c r="C32" s="9" t="s">
        <v>170</v>
      </c>
      <c r="D32" s="9" t="s">
        <v>229</v>
      </c>
      <c r="E32" s="12">
        <v>2.0</v>
      </c>
      <c r="F32" s="9" t="s">
        <v>65</v>
      </c>
      <c r="G32" s="23">
        <f>VLOOKUP(C32,Ingredient_Master!$B$4:$I$79,8,FALSE())</f>
        <v>0.03</v>
      </c>
      <c r="H32" s="13">
        <f t="shared" si="1"/>
        <v>0.06</v>
      </c>
    </row>
    <row r="33" ht="15.0" customHeight="1">
      <c r="A33" s="9" t="s">
        <v>237</v>
      </c>
      <c r="B33" s="9" t="s">
        <v>238</v>
      </c>
      <c r="C33" s="9" t="s">
        <v>189</v>
      </c>
      <c r="D33" s="9" t="s">
        <v>243</v>
      </c>
      <c r="E33" s="12">
        <v>2.5</v>
      </c>
      <c r="F33" s="9" t="s">
        <v>94</v>
      </c>
      <c r="G33" s="23">
        <f>VLOOKUP(C33,Ingredient_Master!$B$4:$I$79,8,FALSE())</f>
        <v>28</v>
      </c>
      <c r="H33" s="13">
        <f t="shared" si="1"/>
        <v>70</v>
      </c>
    </row>
    <row r="34" ht="15.0" customHeight="1">
      <c r="A34" s="9" t="s">
        <v>244</v>
      </c>
      <c r="B34" s="9" t="s">
        <v>245</v>
      </c>
      <c r="C34" s="9" t="s">
        <v>69</v>
      </c>
      <c r="D34" s="9" t="s">
        <v>246</v>
      </c>
      <c r="E34" s="12">
        <v>500.0</v>
      </c>
      <c r="F34" s="9" t="s">
        <v>65</v>
      </c>
      <c r="G34" s="23">
        <f>VLOOKUP(C34,Ingredient_Master!$B$4:$I$79,8,FALSE())</f>
        <v>0.6666666667</v>
      </c>
      <c r="H34" s="13">
        <f t="shared" si="1"/>
        <v>333.3333333</v>
      </c>
    </row>
    <row r="35" ht="15.0" customHeight="1">
      <c r="A35" s="9" t="s">
        <v>244</v>
      </c>
      <c r="B35" s="9" t="s">
        <v>245</v>
      </c>
      <c r="C35" s="9" t="s">
        <v>134</v>
      </c>
      <c r="D35" s="9" t="s">
        <v>247</v>
      </c>
      <c r="E35" s="12">
        <v>150.0</v>
      </c>
      <c r="F35" s="9" t="s">
        <v>65</v>
      </c>
      <c r="G35" s="23">
        <f>VLOOKUP(C35,Ingredient_Master!$B$4:$I$79,8,FALSE())</f>
        <v>0.1333333333</v>
      </c>
      <c r="H35" s="13">
        <f t="shared" si="1"/>
        <v>20</v>
      </c>
    </row>
    <row r="36" ht="15.0" customHeight="1">
      <c r="A36" s="9" t="s">
        <v>244</v>
      </c>
      <c r="B36" s="9" t="s">
        <v>245</v>
      </c>
      <c r="C36" s="9" t="s">
        <v>136</v>
      </c>
      <c r="D36" s="9" t="s">
        <v>248</v>
      </c>
      <c r="E36" s="12">
        <v>200.0</v>
      </c>
      <c r="F36" s="9" t="s">
        <v>65</v>
      </c>
      <c r="G36" s="23">
        <f>VLOOKUP(C36,Ingredient_Master!$B$4:$I$79,8,FALSE())</f>
        <v>0.1333333333</v>
      </c>
      <c r="H36" s="13">
        <f t="shared" si="1"/>
        <v>26.66666667</v>
      </c>
    </row>
    <row r="37" ht="15.0" customHeight="1">
      <c r="A37" s="9" t="s">
        <v>244</v>
      </c>
      <c r="B37" s="9" t="s">
        <v>245</v>
      </c>
      <c r="C37" s="9" t="s">
        <v>139</v>
      </c>
      <c r="D37" s="9" t="s">
        <v>233</v>
      </c>
      <c r="E37" s="12">
        <v>6.0</v>
      </c>
      <c r="F37" s="9" t="s">
        <v>65</v>
      </c>
      <c r="G37" s="23">
        <f>VLOOKUP(C37,Ingredient_Master!$B$4:$I$79,8,FALSE())</f>
        <v>0.5555555556</v>
      </c>
      <c r="H37" s="13">
        <f t="shared" si="1"/>
        <v>3.333333333</v>
      </c>
    </row>
    <row r="38" ht="15.0" customHeight="1">
      <c r="A38" s="9" t="s">
        <v>244</v>
      </c>
      <c r="B38" s="9" t="s">
        <v>245</v>
      </c>
      <c r="C38" s="9" t="s">
        <v>141</v>
      </c>
      <c r="D38" s="9" t="s">
        <v>220</v>
      </c>
      <c r="E38" s="12">
        <v>3.0</v>
      </c>
      <c r="F38" s="9" t="s">
        <v>65</v>
      </c>
      <c r="G38" s="23">
        <f>VLOOKUP(C38,Ingredient_Master!$B$4:$I$79,8,FALSE())</f>
        <v>0.4705882353</v>
      </c>
      <c r="H38" s="13">
        <f t="shared" si="1"/>
        <v>1.411764706</v>
      </c>
    </row>
    <row r="39" ht="15.0" customHeight="1">
      <c r="A39" s="9" t="s">
        <v>244</v>
      </c>
      <c r="B39" s="9" t="s">
        <v>245</v>
      </c>
      <c r="C39" s="9" t="s">
        <v>143</v>
      </c>
      <c r="D39" s="9" t="s">
        <v>249</v>
      </c>
      <c r="E39" s="12">
        <v>120.0</v>
      </c>
      <c r="F39" s="9" t="s">
        <v>65</v>
      </c>
      <c r="G39" s="23">
        <f>VLOOKUP(C39,Ingredient_Master!$B$4:$I$79,8,FALSE())</f>
        <v>0.2352941176</v>
      </c>
      <c r="H39" s="13">
        <f t="shared" si="1"/>
        <v>28.23529412</v>
      </c>
    </row>
    <row r="40" ht="15.0" customHeight="1">
      <c r="A40" s="9" t="s">
        <v>244</v>
      </c>
      <c r="B40" s="9" t="s">
        <v>245</v>
      </c>
      <c r="C40" s="9" t="s">
        <v>102</v>
      </c>
      <c r="D40" s="9" t="s">
        <v>240</v>
      </c>
      <c r="E40" s="12">
        <v>30.0</v>
      </c>
      <c r="F40" s="9" t="s">
        <v>104</v>
      </c>
      <c r="G40" s="23">
        <f>VLOOKUP(C40,Ingredient_Master!$B$4:$I$79,8,FALSE())</f>
        <v>0.32</v>
      </c>
      <c r="H40" s="13">
        <f t="shared" si="1"/>
        <v>9.6</v>
      </c>
    </row>
    <row r="41" ht="15.0" customHeight="1">
      <c r="A41" s="9" t="s">
        <v>244</v>
      </c>
      <c r="B41" s="9" t="s">
        <v>245</v>
      </c>
      <c r="C41" s="9" t="s">
        <v>183</v>
      </c>
      <c r="D41" s="9" t="s">
        <v>250</v>
      </c>
      <c r="E41" s="12">
        <v>1.0</v>
      </c>
      <c r="F41" s="9" t="s">
        <v>94</v>
      </c>
      <c r="G41" s="23">
        <f>VLOOKUP(C41,Ingredient_Master!$B$4:$I$79,8,FALSE())</f>
        <v>10</v>
      </c>
      <c r="H41" s="13">
        <f t="shared" si="1"/>
        <v>10</v>
      </c>
    </row>
    <row r="42" ht="15.0" customHeight="1">
      <c r="A42" s="9" t="s">
        <v>244</v>
      </c>
      <c r="B42" s="9" t="s">
        <v>245</v>
      </c>
      <c r="C42" s="9" t="s">
        <v>174</v>
      </c>
      <c r="D42" s="9" t="s">
        <v>220</v>
      </c>
      <c r="E42" s="12">
        <v>2.5</v>
      </c>
      <c r="F42" s="9" t="s">
        <v>65</v>
      </c>
      <c r="G42" s="23">
        <f>VLOOKUP(C42,Ingredient_Master!$B$4:$I$79,8,FALSE())</f>
        <v>1.2</v>
      </c>
      <c r="H42" s="13">
        <f t="shared" si="1"/>
        <v>3</v>
      </c>
    </row>
    <row r="43" ht="15.0" customHeight="1">
      <c r="A43" s="9" t="s">
        <v>244</v>
      </c>
      <c r="B43" s="9" t="s">
        <v>245</v>
      </c>
      <c r="C43" s="9" t="s">
        <v>172</v>
      </c>
      <c r="D43" s="9" t="s">
        <v>221</v>
      </c>
      <c r="E43" s="12">
        <v>1.25</v>
      </c>
      <c r="F43" s="9" t="s">
        <v>65</v>
      </c>
      <c r="G43" s="23">
        <f>VLOOKUP(C43,Ingredient_Master!$B$4:$I$79,8,FALSE())</f>
        <v>1.5</v>
      </c>
      <c r="H43" s="13">
        <f t="shared" si="1"/>
        <v>1.875</v>
      </c>
    </row>
    <row r="44" ht="15.0" customHeight="1">
      <c r="A44" s="9" t="s">
        <v>244</v>
      </c>
      <c r="B44" s="9" t="s">
        <v>245</v>
      </c>
      <c r="C44" s="9" t="s">
        <v>170</v>
      </c>
      <c r="D44" s="9" t="s">
        <v>229</v>
      </c>
      <c r="E44" s="12">
        <v>2.0</v>
      </c>
      <c r="F44" s="9" t="s">
        <v>65</v>
      </c>
      <c r="G44" s="23">
        <f>VLOOKUP(C44,Ingredient_Master!$B$4:$I$79,8,FALSE())</f>
        <v>0.03</v>
      </c>
      <c r="H44" s="13">
        <f t="shared" si="1"/>
        <v>0.06</v>
      </c>
    </row>
    <row r="45" ht="15.0" customHeight="1">
      <c r="A45" s="9" t="s">
        <v>244</v>
      </c>
      <c r="B45" s="9" t="s">
        <v>245</v>
      </c>
      <c r="C45" s="9" t="s">
        <v>147</v>
      </c>
      <c r="D45" s="9" t="s">
        <v>251</v>
      </c>
      <c r="E45" s="12">
        <v>10.0</v>
      </c>
      <c r="F45" s="9" t="s">
        <v>65</v>
      </c>
      <c r="G45" s="23">
        <f>VLOOKUP(C45,Ingredient_Master!$B$4:$I$79,8,FALSE())</f>
        <v>0.1111111111</v>
      </c>
      <c r="H45" s="13">
        <f t="shared" si="1"/>
        <v>1.111111111</v>
      </c>
    </row>
    <row r="46" ht="15.0" customHeight="1">
      <c r="A46" s="9" t="s">
        <v>244</v>
      </c>
      <c r="B46" s="9" t="s">
        <v>245</v>
      </c>
      <c r="C46" s="9" t="s">
        <v>189</v>
      </c>
      <c r="D46" s="9" t="s">
        <v>243</v>
      </c>
      <c r="E46" s="12">
        <v>2.5</v>
      </c>
      <c r="F46" s="9" t="s">
        <v>94</v>
      </c>
      <c r="G46" s="23">
        <f>VLOOKUP(C46,Ingredient_Master!$B$4:$I$79,8,FALSE())</f>
        <v>28</v>
      </c>
      <c r="H46" s="13">
        <f t="shared" si="1"/>
        <v>70</v>
      </c>
    </row>
    <row r="47" ht="15.0" customHeight="1">
      <c r="A47" s="9" t="s">
        <v>252</v>
      </c>
      <c r="B47" s="9" t="s">
        <v>253</v>
      </c>
      <c r="C47" s="9" t="s">
        <v>73</v>
      </c>
      <c r="D47" s="9" t="s">
        <v>254</v>
      </c>
      <c r="E47" s="12">
        <v>350.0</v>
      </c>
      <c r="F47" s="9" t="s">
        <v>65</v>
      </c>
      <c r="G47" s="23">
        <f>VLOOKUP(C47,Ingredient_Master!$B$4:$I$79,8,FALSE())</f>
        <v>1.142857143</v>
      </c>
      <c r="H47" s="13">
        <f t="shared" si="1"/>
        <v>400</v>
      </c>
    </row>
    <row r="48" ht="15.0" customHeight="1">
      <c r="A48" s="9" t="s">
        <v>252</v>
      </c>
      <c r="B48" s="9" t="s">
        <v>253</v>
      </c>
      <c r="C48" s="9" t="s">
        <v>170</v>
      </c>
      <c r="D48" s="9" t="s">
        <v>255</v>
      </c>
      <c r="E48" s="12">
        <v>4.0</v>
      </c>
      <c r="F48" s="9" t="s">
        <v>65</v>
      </c>
      <c r="G48" s="23">
        <f>VLOOKUP(C48,Ingredient_Master!$B$4:$I$79,8,FALSE())</f>
        <v>0.03</v>
      </c>
      <c r="H48" s="13">
        <f t="shared" si="1"/>
        <v>0.12</v>
      </c>
    </row>
    <row r="49" ht="15.0" customHeight="1">
      <c r="A49" s="9" t="s">
        <v>252</v>
      </c>
      <c r="B49" s="9" t="s">
        <v>253</v>
      </c>
      <c r="C49" s="9" t="s">
        <v>172</v>
      </c>
      <c r="D49" s="9" t="s">
        <v>230</v>
      </c>
      <c r="E49" s="12">
        <v>2.0</v>
      </c>
      <c r="F49" s="9" t="s">
        <v>65</v>
      </c>
      <c r="G49" s="23">
        <f>VLOOKUP(C49,Ingredient_Master!$B$4:$I$79,8,FALSE())</f>
        <v>1.5</v>
      </c>
      <c r="H49" s="13">
        <f t="shared" si="1"/>
        <v>3</v>
      </c>
    </row>
    <row r="50" ht="15.0" customHeight="1">
      <c r="A50" s="9" t="s">
        <v>252</v>
      </c>
      <c r="B50" s="9" t="s">
        <v>253</v>
      </c>
      <c r="C50" s="9" t="s">
        <v>102</v>
      </c>
      <c r="D50" s="9" t="s">
        <v>232</v>
      </c>
      <c r="E50" s="12">
        <v>15.0</v>
      </c>
      <c r="F50" s="9" t="s">
        <v>104</v>
      </c>
      <c r="G50" s="23">
        <f>VLOOKUP(C50,Ingredient_Master!$B$4:$I$79,8,FALSE())</f>
        <v>0.32</v>
      </c>
      <c r="H50" s="13">
        <f t="shared" si="1"/>
        <v>4.8</v>
      </c>
    </row>
    <row r="51" ht="15.0" customHeight="1">
      <c r="A51" s="9" t="s">
        <v>252</v>
      </c>
      <c r="B51" s="9" t="s">
        <v>253</v>
      </c>
      <c r="C51" s="9" t="s">
        <v>100</v>
      </c>
      <c r="D51" s="9" t="s">
        <v>240</v>
      </c>
      <c r="E51" s="12">
        <v>28.0</v>
      </c>
      <c r="F51" s="9" t="s">
        <v>65</v>
      </c>
      <c r="G51" s="23">
        <f>VLOOKUP(C51,Ingredient_Master!$B$4:$I$79,8,FALSE())</f>
        <v>0.9</v>
      </c>
      <c r="H51" s="13">
        <f t="shared" si="1"/>
        <v>25.2</v>
      </c>
    </row>
    <row r="52" ht="15.0" customHeight="1">
      <c r="A52" s="9" t="s">
        <v>252</v>
      </c>
      <c r="B52" s="9" t="s">
        <v>253</v>
      </c>
      <c r="C52" s="9" t="s">
        <v>139</v>
      </c>
      <c r="D52" s="9" t="s">
        <v>233</v>
      </c>
      <c r="E52" s="12">
        <v>6.0</v>
      </c>
      <c r="F52" s="9" t="s">
        <v>65</v>
      </c>
      <c r="G52" s="23">
        <f>VLOOKUP(C52,Ingredient_Master!$B$4:$I$79,8,FALSE())</f>
        <v>0.5555555556</v>
      </c>
      <c r="H52" s="13">
        <f t="shared" si="1"/>
        <v>3.333333333</v>
      </c>
    </row>
    <row r="53" ht="15.0" customHeight="1">
      <c r="A53" s="9" t="s">
        <v>252</v>
      </c>
      <c r="B53" s="9" t="s">
        <v>253</v>
      </c>
      <c r="C53" s="9" t="s">
        <v>179</v>
      </c>
      <c r="D53" s="9" t="s">
        <v>256</v>
      </c>
      <c r="E53" s="12">
        <v>1.0</v>
      </c>
      <c r="F53" s="9" t="s">
        <v>65</v>
      </c>
      <c r="G53" s="23">
        <f>VLOOKUP(C53,Ingredient_Master!$B$4:$I$79,8,FALSE())</f>
        <v>2</v>
      </c>
      <c r="H53" s="13">
        <f t="shared" si="1"/>
        <v>2</v>
      </c>
    </row>
    <row r="54" ht="15.0" customHeight="1">
      <c r="A54" s="9" t="s">
        <v>257</v>
      </c>
      <c r="B54" s="9" t="s">
        <v>258</v>
      </c>
      <c r="C54" s="9" t="s">
        <v>81</v>
      </c>
      <c r="D54" s="9" t="s">
        <v>259</v>
      </c>
      <c r="E54" s="12">
        <v>600.0</v>
      </c>
      <c r="F54" s="9" t="s">
        <v>65</v>
      </c>
      <c r="G54" s="23">
        <f>VLOOKUP(C54,Ingredient_Master!$B$4:$I$79,8,FALSE())</f>
        <v>0.8333333333</v>
      </c>
      <c r="H54" s="13">
        <f t="shared" si="1"/>
        <v>500</v>
      </c>
    </row>
    <row r="55" ht="15.0" customHeight="1">
      <c r="A55" s="9" t="s">
        <v>257</v>
      </c>
      <c r="B55" s="9" t="s">
        <v>258</v>
      </c>
      <c r="C55" s="9" t="s">
        <v>106</v>
      </c>
      <c r="D55" s="9" t="s">
        <v>240</v>
      </c>
      <c r="E55" s="12">
        <v>30.0</v>
      </c>
      <c r="F55" s="9" t="s">
        <v>104</v>
      </c>
      <c r="G55" s="23">
        <f>VLOOKUP(C55,Ingredient_Master!$B$4:$I$79,8,FALSE())</f>
        <v>1.2</v>
      </c>
      <c r="H55" s="13">
        <f t="shared" si="1"/>
        <v>36</v>
      </c>
    </row>
    <row r="56" ht="15.0" customHeight="1">
      <c r="A56" s="9" t="s">
        <v>257</v>
      </c>
      <c r="B56" s="9" t="s">
        <v>258</v>
      </c>
      <c r="C56" s="9" t="s">
        <v>139</v>
      </c>
      <c r="D56" s="9" t="s">
        <v>233</v>
      </c>
      <c r="E56" s="12">
        <v>6.0</v>
      </c>
      <c r="F56" s="9" t="s">
        <v>65</v>
      </c>
      <c r="G56" s="23">
        <f>VLOOKUP(C56,Ingredient_Master!$B$4:$I$79,8,FALSE())</f>
        <v>0.5555555556</v>
      </c>
      <c r="H56" s="13">
        <f t="shared" si="1"/>
        <v>3.333333333</v>
      </c>
    </row>
    <row r="57" ht="15.0" customHeight="1">
      <c r="A57" s="9" t="s">
        <v>257</v>
      </c>
      <c r="B57" s="9" t="s">
        <v>258</v>
      </c>
      <c r="C57" s="9" t="s">
        <v>149</v>
      </c>
      <c r="D57" s="9" t="s">
        <v>260</v>
      </c>
      <c r="E57" s="12">
        <v>0.5</v>
      </c>
      <c r="F57" s="9" t="s">
        <v>94</v>
      </c>
      <c r="G57" s="23">
        <f>VLOOKUP(C57,Ingredient_Master!$B$4:$I$79,8,FALSE())</f>
        <v>15</v>
      </c>
      <c r="H57" s="13">
        <f t="shared" si="1"/>
        <v>7.5</v>
      </c>
    </row>
    <row r="58" ht="15.0" customHeight="1">
      <c r="A58" s="9" t="s">
        <v>257</v>
      </c>
      <c r="B58" s="9" t="s">
        <v>258</v>
      </c>
      <c r="C58" s="9" t="s">
        <v>174</v>
      </c>
      <c r="D58" s="9" t="s">
        <v>220</v>
      </c>
      <c r="E58" s="12">
        <v>2.5</v>
      </c>
      <c r="F58" s="9" t="s">
        <v>65</v>
      </c>
      <c r="G58" s="23">
        <f>VLOOKUP(C58,Ingredient_Master!$B$4:$I$79,8,FALSE())</f>
        <v>1.2</v>
      </c>
      <c r="H58" s="13">
        <f t="shared" si="1"/>
        <v>3</v>
      </c>
    </row>
    <row r="59" ht="15.0" customHeight="1">
      <c r="A59" s="9" t="s">
        <v>257</v>
      </c>
      <c r="B59" s="9" t="s">
        <v>258</v>
      </c>
      <c r="C59" s="9" t="s">
        <v>170</v>
      </c>
      <c r="D59" s="9" t="s">
        <v>221</v>
      </c>
      <c r="E59" s="12">
        <v>3.0</v>
      </c>
      <c r="F59" s="9" t="s">
        <v>65</v>
      </c>
      <c r="G59" s="23">
        <f>VLOOKUP(C59,Ingredient_Master!$B$4:$I$79,8,FALSE())</f>
        <v>0.03</v>
      </c>
      <c r="H59" s="13">
        <f t="shared" si="1"/>
        <v>0.09</v>
      </c>
    </row>
    <row r="60" ht="15.0" customHeight="1">
      <c r="A60" s="9" t="s">
        <v>257</v>
      </c>
      <c r="B60" s="9" t="s">
        <v>258</v>
      </c>
      <c r="C60" s="9" t="s">
        <v>172</v>
      </c>
      <c r="D60" s="9" t="s">
        <v>221</v>
      </c>
      <c r="E60" s="12">
        <v>1.25</v>
      </c>
      <c r="F60" s="9" t="s">
        <v>65</v>
      </c>
      <c r="G60" s="23">
        <f>VLOOKUP(C60,Ingredient_Master!$B$4:$I$79,8,FALSE())</f>
        <v>1.5</v>
      </c>
      <c r="H60" s="13">
        <f t="shared" si="1"/>
        <v>1.875</v>
      </c>
    </row>
    <row r="61" ht="15.0" customHeight="1">
      <c r="A61" s="9" t="s">
        <v>257</v>
      </c>
      <c r="B61" s="9" t="s">
        <v>258</v>
      </c>
      <c r="C61" s="9" t="s">
        <v>179</v>
      </c>
      <c r="D61" s="9" t="s">
        <v>261</v>
      </c>
      <c r="E61" s="12">
        <v>1.25</v>
      </c>
      <c r="F61" s="9" t="s">
        <v>65</v>
      </c>
      <c r="G61" s="23">
        <f>VLOOKUP(C61,Ingredient_Master!$B$4:$I$79,8,FALSE())</f>
        <v>2</v>
      </c>
      <c r="H61" s="13">
        <f t="shared" si="1"/>
        <v>2.5</v>
      </c>
    </row>
    <row r="62" ht="15.0" customHeight="1">
      <c r="A62" s="9" t="s">
        <v>257</v>
      </c>
      <c r="B62" s="9" t="s">
        <v>258</v>
      </c>
      <c r="C62" s="9" t="s">
        <v>147</v>
      </c>
      <c r="D62" s="9" t="s">
        <v>251</v>
      </c>
      <c r="E62" s="12">
        <v>8.0</v>
      </c>
      <c r="F62" s="9" t="s">
        <v>65</v>
      </c>
      <c r="G62" s="23">
        <f>VLOOKUP(C62,Ingredient_Master!$B$4:$I$79,8,FALSE())</f>
        <v>0.1111111111</v>
      </c>
      <c r="H62" s="13">
        <f t="shared" si="1"/>
        <v>0.8888888889</v>
      </c>
    </row>
    <row r="63" ht="15.0" customHeight="1">
      <c r="A63" s="9" t="s">
        <v>257</v>
      </c>
      <c r="B63" s="9" t="s">
        <v>258</v>
      </c>
      <c r="C63" s="9" t="s">
        <v>189</v>
      </c>
      <c r="D63" s="9" t="s">
        <v>243</v>
      </c>
      <c r="E63" s="12">
        <v>4.0</v>
      </c>
      <c r="F63" s="9" t="s">
        <v>94</v>
      </c>
      <c r="G63" s="23">
        <f>VLOOKUP(C63,Ingredient_Master!$B$4:$I$79,8,FALSE())</f>
        <v>28</v>
      </c>
      <c r="H63" s="13">
        <f t="shared" si="1"/>
        <v>112</v>
      </c>
    </row>
    <row r="64" ht="15.0" customHeight="1">
      <c r="A64" s="9" t="s">
        <v>262</v>
      </c>
      <c r="B64" s="9" t="s">
        <v>263</v>
      </c>
      <c r="C64" s="9" t="s">
        <v>81</v>
      </c>
      <c r="D64" s="9" t="s">
        <v>264</v>
      </c>
      <c r="E64" s="12">
        <v>300.0</v>
      </c>
      <c r="F64" s="9" t="s">
        <v>65</v>
      </c>
      <c r="G64" s="23">
        <f>VLOOKUP(C64,Ingredient_Master!$B$4:$I$79,8,FALSE())</f>
        <v>0.8333333333</v>
      </c>
      <c r="H64" s="13">
        <f t="shared" si="1"/>
        <v>250</v>
      </c>
    </row>
    <row r="65" ht="15.0" customHeight="1">
      <c r="A65" s="9" t="s">
        <v>262</v>
      </c>
      <c r="B65" s="9" t="s">
        <v>263</v>
      </c>
      <c r="C65" s="9" t="s">
        <v>115</v>
      </c>
      <c r="D65" s="9" t="s">
        <v>240</v>
      </c>
      <c r="E65" s="12">
        <v>30.0</v>
      </c>
      <c r="F65" s="9" t="s">
        <v>65</v>
      </c>
      <c r="G65" s="23">
        <f>VLOOKUP(C65,Ingredient_Master!$B$4:$I$79,8,FALSE())</f>
        <v>0.13</v>
      </c>
      <c r="H65" s="13">
        <f t="shared" si="1"/>
        <v>3.9</v>
      </c>
    </row>
    <row r="66" ht="15.0" customHeight="1">
      <c r="A66" s="9" t="s">
        <v>262</v>
      </c>
      <c r="B66" s="9" t="s">
        <v>263</v>
      </c>
      <c r="C66" s="9" t="s">
        <v>170</v>
      </c>
      <c r="D66" s="9" t="s">
        <v>220</v>
      </c>
      <c r="E66" s="12">
        <v>6.0</v>
      </c>
      <c r="F66" s="9" t="s">
        <v>65</v>
      </c>
      <c r="G66" s="23">
        <f>VLOOKUP(C66,Ingredient_Master!$B$4:$I$79,8,FALSE())</f>
        <v>0.03</v>
      </c>
      <c r="H66" s="13">
        <f t="shared" si="1"/>
        <v>0.18</v>
      </c>
    </row>
    <row r="67" ht="15.0" customHeight="1">
      <c r="A67" s="9" t="s">
        <v>262</v>
      </c>
      <c r="B67" s="9" t="s">
        <v>263</v>
      </c>
      <c r="C67" s="9" t="s">
        <v>172</v>
      </c>
      <c r="D67" s="9" t="s">
        <v>221</v>
      </c>
      <c r="E67" s="12">
        <v>1.25</v>
      </c>
      <c r="F67" s="9" t="s">
        <v>65</v>
      </c>
      <c r="G67" s="23">
        <f>VLOOKUP(C67,Ingredient_Master!$B$4:$I$79,8,FALSE())</f>
        <v>1.5</v>
      </c>
      <c r="H67" s="13">
        <f t="shared" si="1"/>
        <v>1.875</v>
      </c>
    </row>
    <row r="68" ht="15.0" customHeight="1">
      <c r="A68" s="9" t="s">
        <v>262</v>
      </c>
      <c r="B68" s="9" t="s">
        <v>263</v>
      </c>
      <c r="C68" s="9" t="s">
        <v>174</v>
      </c>
      <c r="D68" s="9" t="s">
        <v>221</v>
      </c>
      <c r="E68" s="12">
        <v>1.25</v>
      </c>
      <c r="F68" s="9" t="s">
        <v>65</v>
      </c>
      <c r="G68" s="23">
        <f>VLOOKUP(C68,Ingredient_Master!$B$4:$I$79,8,FALSE())</f>
        <v>1.2</v>
      </c>
      <c r="H68" s="13">
        <f t="shared" si="1"/>
        <v>1.5</v>
      </c>
    </row>
    <row r="69" ht="15.0" customHeight="1">
      <c r="A69" s="9" t="s">
        <v>262</v>
      </c>
      <c r="B69" s="9" t="s">
        <v>263</v>
      </c>
      <c r="C69" s="9" t="s">
        <v>139</v>
      </c>
      <c r="D69" s="9" t="s">
        <v>222</v>
      </c>
      <c r="E69" s="12">
        <v>3.0</v>
      </c>
      <c r="F69" s="9" t="s">
        <v>65</v>
      </c>
      <c r="G69" s="23">
        <f>VLOOKUP(C69,Ingredient_Master!$B$4:$I$79,8,FALSE())</f>
        <v>0.5555555556</v>
      </c>
      <c r="H69" s="13">
        <f t="shared" si="1"/>
        <v>1.666666667</v>
      </c>
    </row>
    <row r="70" ht="15.0" customHeight="1">
      <c r="A70" s="9" t="s">
        <v>262</v>
      </c>
      <c r="B70" s="9" t="s">
        <v>263</v>
      </c>
      <c r="C70" s="9" t="s">
        <v>92</v>
      </c>
      <c r="D70" s="9" t="s">
        <v>265</v>
      </c>
      <c r="E70" s="12">
        <v>1.0</v>
      </c>
      <c r="F70" s="9" t="s">
        <v>94</v>
      </c>
      <c r="G70" s="23">
        <f>VLOOKUP(C70,Ingredient_Master!$B$4:$I$79,8,FALSE())</f>
        <v>18</v>
      </c>
      <c r="H70" s="13">
        <f t="shared" si="1"/>
        <v>18</v>
      </c>
    </row>
    <row r="71" ht="15.0" customHeight="1">
      <c r="A71" s="9" t="s">
        <v>262</v>
      </c>
      <c r="B71" s="9" t="s">
        <v>263</v>
      </c>
      <c r="C71" s="9" t="s">
        <v>102</v>
      </c>
      <c r="D71" s="9" t="s">
        <v>266</v>
      </c>
      <c r="E71" s="12">
        <v>45.0</v>
      </c>
      <c r="F71" s="9" t="s">
        <v>104</v>
      </c>
      <c r="G71" s="23">
        <f>VLOOKUP(C71,Ingredient_Master!$B$4:$I$79,8,FALSE())</f>
        <v>0.32</v>
      </c>
      <c r="H71" s="13">
        <f t="shared" si="1"/>
        <v>14.4</v>
      </c>
    </row>
    <row r="72" ht="15.0" customHeight="1">
      <c r="A72" s="9" t="s">
        <v>262</v>
      </c>
      <c r="B72" s="9" t="s">
        <v>263</v>
      </c>
      <c r="C72" s="9" t="s">
        <v>149</v>
      </c>
      <c r="D72" s="9" t="s">
        <v>267</v>
      </c>
      <c r="E72" s="12">
        <v>0.5</v>
      </c>
      <c r="F72" s="9" t="s">
        <v>94</v>
      </c>
      <c r="G72" s="23">
        <f>VLOOKUP(C72,Ingredient_Master!$B$4:$I$79,8,FALSE())</f>
        <v>15</v>
      </c>
      <c r="H72" s="13">
        <f t="shared" si="1"/>
        <v>7.5</v>
      </c>
    </row>
    <row r="73" ht="15.0" customHeight="1">
      <c r="A73" s="9" t="s">
        <v>262</v>
      </c>
      <c r="B73" s="9" t="s">
        <v>263</v>
      </c>
      <c r="C73" s="9" t="s">
        <v>189</v>
      </c>
      <c r="D73" s="9" t="s">
        <v>268</v>
      </c>
      <c r="E73" s="12">
        <v>2.0</v>
      </c>
      <c r="F73" s="9" t="s">
        <v>94</v>
      </c>
      <c r="G73" s="23">
        <f>VLOOKUP(C73,Ingredient_Master!$B$4:$I$79,8,FALSE())</f>
        <v>28</v>
      </c>
      <c r="H73" s="13">
        <f t="shared" si="1"/>
        <v>56</v>
      </c>
    </row>
    <row r="74" ht="15.0" customHeight="1">
      <c r="A74" s="9" t="s">
        <v>269</v>
      </c>
      <c r="B74" s="9" t="s">
        <v>270</v>
      </c>
      <c r="C74" s="9" t="s">
        <v>79</v>
      </c>
      <c r="D74" s="9" t="s">
        <v>271</v>
      </c>
      <c r="E74" s="12">
        <v>400.0</v>
      </c>
      <c r="F74" s="9" t="s">
        <v>65</v>
      </c>
      <c r="G74" s="23">
        <f>VLOOKUP(C74,Ingredient_Master!$B$4:$I$79,8,FALSE())</f>
        <v>0.6315789474</v>
      </c>
      <c r="H74" s="13">
        <f t="shared" si="1"/>
        <v>252.6315789</v>
      </c>
    </row>
    <row r="75" ht="15.0" customHeight="1">
      <c r="A75" s="9" t="s">
        <v>269</v>
      </c>
      <c r="B75" s="9" t="s">
        <v>270</v>
      </c>
      <c r="C75" s="9" t="s">
        <v>102</v>
      </c>
      <c r="D75" s="9" t="s">
        <v>240</v>
      </c>
      <c r="E75" s="12">
        <v>30.0</v>
      </c>
      <c r="F75" s="9" t="s">
        <v>104</v>
      </c>
      <c r="G75" s="23">
        <f>VLOOKUP(C75,Ingredient_Master!$B$4:$I$79,8,FALSE())</f>
        <v>0.32</v>
      </c>
      <c r="H75" s="13">
        <f t="shared" si="1"/>
        <v>9.6</v>
      </c>
    </row>
    <row r="76" ht="15.0" customHeight="1">
      <c r="A76" s="9" t="s">
        <v>269</v>
      </c>
      <c r="B76" s="9" t="s">
        <v>270</v>
      </c>
      <c r="C76" s="9" t="s">
        <v>134</v>
      </c>
      <c r="D76" s="9" t="s">
        <v>247</v>
      </c>
      <c r="E76" s="12">
        <v>150.0</v>
      </c>
      <c r="F76" s="9" t="s">
        <v>65</v>
      </c>
      <c r="G76" s="23">
        <f>VLOOKUP(C76,Ingredient_Master!$B$4:$I$79,8,FALSE())</f>
        <v>0.1333333333</v>
      </c>
      <c r="H76" s="13">
        <f t="shared" si="1"/>
        <v>20</v>
      </c>
    </row>
    <row r="77" ht="15.0" customHeight="1">
      <c r="A77" s="9" t="s">
        <v>269</v>
      </c>
      <c r="B77" s="9" t="s">
        <v>270</v>
      </c>
      <c r="C77" s="9" t="s">
        <v>136</v>
      </c>
      <c r="D77" s="9" t="s">
        <v>248</v>
      </c>
      <c r="E77" s="12">
        <v>200.0</v>
      </c>
      <c r="F77" s="9" t="s">
        <v>65</v>
      </c>
      <c r="G77" s="23">
        <f>VLOOKUP(C77,Ingredient_Master!$B$4:$I$79,8,FALSE())</f>
        <v>0.1333333333</v>
      </c>
      <c r="H77" s="13">
        <f t="shared" si="1"/>
        <v>26.66666667</v>
      </c>
    </row>
    <row r="78" ht="15.0" customHeight="1">
      <c r="A78" s="9" t="s">
        <v>269</v>
      </c>
      <c r="B78" s="9" t="s">
        <v>270</v>
      </c>
      <c r="C78" s="9" t="s">
        <v>137</v>
      </c>
      <c r="D78" s="9" t="s">
        <v>232</v>
      </c>
      <c r="E78" s="12">
        <v>15.0</v>
      </c>
      <c r="F78" s="9" t="s">
        <v>65</v>
      </c>
      <c r="G78" s="23">
        <f>VLOOKUP(C78,Ingredient_Master!$B$4:$I$79,8,FALSE())</f>
        <v>0.4</v>
      </c>
      <c r="H78" s="13">
        <f t="shared" si="1"/>
        <v>6</v>
      </c>
    </row>
    <row r="79" ht="15.0" customHeight="1">
      <c r="A79" s="9" t="s">
        <v>269</v>
      </c>
      <c r="B79" s="9" t="s">
        <v>270</v>
      </c>
      <c r="C79" s="9" t="s">
        <v>139</v>
      </c>
      <c r="D79" s="9" t="s">
        <v>233</v>
      </c>
      <c r="E79" s="12">
        <v>6.0</v>
      </c>
      <c r="F79" s="9" t="s">
        <v>65</v>
      </c>
      <c r="G79" s="23">
        <f>VLOOKUP(C79,Ingredient_Master!$B$4:$I$79,8,FALSE())</f>
        <v>0.5555555556</v>
      </c>
      <c r="H79" s="13">
        <f t="shared" si="1"/>
        <v>3.333333333</v>
      </c>
    </row>
    <row r="80" ht="15.0" customHeight="1">
      <c r="A80" s="9" t="s">
        <v>269</v>
      </c>
      <c r="B80" s="9" t="s">
        <v>270</v>
      </c>
      <c r="C80" s="9" t="s">
        <v>141</v>
      </c>
      <c r="D80" s="9" t="s">
        <v>220</v>
      </c>
      <c r="E80" s="12">
        <v>3.0</v>
      </c>
      <c r="F80" s="9" t="s">
        <v>65</v>
      </c>
      <c r="G80" s="23">
        <f>VLOOKUP(C80,Ingredient_Master!$B$4:$I$79,8,FALSE())</f>
        <v>0.4705882353</v>
      </c>
      <c r="H80" s="13">
        <f t="shared" si="1"/>
        <v>1.411764706</v>
      </c>
    </row>
    <row r="81" ht="15.0" customHeight="1">
      <c r="A81" s="9" t="s">
        <v>269</v>
      </c>
      <c r="B81" s="9" t="s">
        <v>270</v>
      </c>
      <c r="C81" s="9" t="s">
        <v>143</v>
      </c>
      <c r="D81" s="9" t="s">
        <v>249</v>
      </c>
      <c r="E81" s="12">
        <v>120.0</v>
      </c>
      <c r="F81" s="9" t="s">
        <v>65</v>
      </c>
      <c r="G81" s="23">
        <f>VLOOKUP(C81,Ingredient_Master!$B$4:$I$79,8,FALSE())</f>
        <v>0.2352941176</v>
      </c>
      <c r="H81" s="13">
        <f t="shared" si="1"/>
        <v>28.23529412</v>
      </c>
    </row>
    <row r="82" ht="15.0" customHeight="1">
      <c r="A82" s="9" t="s">
        <v>269</v>
      </c>
      <c r="B82" s="9" t="s">
        <v>270</v>
      </c>
      <c r="C82" s="9" t="s">
        <v>174</v>
      </c>
      <c r="D82" s="9" t="s">
        <v>220</v>
      </c>
      <c r="E82" s="12">
        <v>2.5</v>
      </c>
      <c r="F82" s="9" t="s">
        <v>65</v>
      </c>
      <c r="G82" s="23">
        <f>VLOOKUP(C82,Ingredient_Master!$B$4:$I$79,8,FALSE())</f>
        <v>1.2</v>
      </c>
      <c r="H82" s="13">
        <f t="shared" si="1"/>
        <v>3</v>
      </c>
    </row>
    <row r="83" ht="15.0" customHeight="1">
      <c r="A83" s="9" t="s">
        <v>269</v>
      </c>
      <c r="B83" s="9" t="s">
        <v>270</v>
      </c>
      <c r="C83" s="9" t="s">
        <v>177</v>
      </c>
      <c r="D83" s="9" t="s">
        <v>272</v>
      </c>
      <c r="E83" s="12">
        <v>1.5</v>
      </c>
      <c r="F83" s="9" t="s">
        <v>65</v>
      </c>
      <c r="G83" s="23">
        <f>VLOOKUP(C83,Ingredient_Master!$B$4:$I$79,8,FALSE())</f>
        <v>0.6</v>
      </c>
      <c r="H83" s="13">
        <f t="shared" si="1"/>
        <v>0.9</v>
      </c>
    </row>
    <row r="84" ht="15.0" customHeight="1">
      <c r="A84" s="9" t="s">
        <v>269</v>
      </c>
      <c r="B84" s="9" t="s">
        <v>270</v>
      </c>
      <c r="C84" s="9" t="s">
        <v>170</v>
      </c>
      <c r="D84" s="9" t="s">
        <v>229</v>
      </c>
      <c r="E84" s="12">
        <v>4.0</v>
      </c>
      <c r="F84" s="9" t="s">
        <v>65</v>
      </c>
      <c r="G84" s="23">
        <f>VLOOKUP(C84,Ingredient_Master!$B$4:$I$79,8,FALSE())</f>
        <v>0.03</v>
      </c>
      <c r="H84" s="13">
        <f t="shared" si="1"/>
        <v>0.12</v>
      </c>
    </row>
    <row r="85" ht="15.0" customHeight="1">
      <c r="A85" s="9" t="s">
        <v>269</v>
      </c>
      <c r="B85" s="9" t="s">
        <v>270</v>
      </c>
      <c r="C85" s="9" t="s">
        <v>149</v>
      </c>
      <c r="D85" s="9" t="s">
        <v>273</v>
      </c>
      <c r="E85" s="12">
        <v>1.0</v>
      </c>
      <c r="F85" s="9" t="s">
        <v>94</v>
      </c>
      <c r="G85" s="23">
        <f>VLOOKUP(C85,Ingredient_Master!$B$4:$I$79,8,FALSE())</f>
        <v>15</v>
      </c>
      <c r="H85" s="13">
        <f t="shared" si="1"/>
        <v>15</v>
      </c>
    </row>
    <row r="86" ht="15.0" customHeight="1">
      <c r="A86" s="9" t="s">
        <v>269</v>
      </c>
      <c r="B86" s="9" t="s">
        <v>270</v>
      </c>
      <c r="C86" s="9" t="s">
        <v>147</v>
      </c>
      <c r="D86" s="9" t="s">
        <v>251</v>
      </c>
      <c r="E86" s="12">
        <v>10.0</v>
      </c>
      <c r="F86" s="9" t="s">
        <v>65</v>
      </c>
      <c r="G86" s="23">
        <f>VLOOKUP(C86,Ingredient_Master!$B$4:$I$79,8,FALSE())</f>
        <v>0.1111111111</v>
      </c>
      <c r="H86" s="13">
        <f t="shared" si="1"/>
        <v>1.111111111</v>
      </c>
    </row>
    <row r="87" ht="15.0" customHeight="1">
      <c r="A87" s="9" t="s">
        <v>269</v>
      </c>
      <c r="B87" s="9" t="s">
        <v>270</v>
      </c>
      <c r="C87" s="9" t="s">
        <v>189</v>
      </c>
      <c r="D87" s="9" t="s">
        <v>274</v>
      </c>
      <c r="E87" s="12">
        <v>1.0</v>
      </c>
      <c r="F87" s="9" t="s">
        <v>94</v>
      </c>
      <c r="G87" s="23">
        <f>VLOOKUP(C87,Ingredient_Master!$B$4:$I$79,8,FALSE())</f>
        <v>28</v>
      </c>
      <c r="H87" s="13">
        <f t="shared" si="1"/>
        <v>28</v>
      </c>
    </row>
    <row r="88" ht="15.0" customHeight="1">
      <c r="A88" s="9" t="s">
        <v>275</v>
      </c>
      <c r="B88" s="9" t="s">
        <v>276</v>
      </c>
      <c r="C88" s="9" t="s">
        <v>79</v>
      </c>
      <c r="D88" s="9" t="s">
        <v>277</v>
      </c>
      <c r="E88" s="12">
        <v>400.0</v>
      </c>
      <c r="F88" s="9" t="s">
        <v>65</v>
      </c>
      <c r="G88" s="23">
        <f>VLOOKUP(C88,Ingredient_Master!$B$4:$I$79,8,FALSE())</f>
        <v>0.6315789474</v>
      </c>
      <c r="H88" s="13">
        <f t="shared" si="1"/>
        <v>252.6315789</v>
      </c>
    </row>
    <row r="89" ht="15.0" customHeight="1">
      <c r="A89" s="9" t="s">
        <v>275</v>
      </c>
      <c r="B89" s="9" t="s">
        <v>276</v>
      </c>
      <c r="C89" s="9" t="s">
        <v>102</v>
      </c>
      <c r="D89" s="9" t="s">
        <v>240</v>
      </c>
      <c r="E89" s="12">
        <v>30.0</v>
      </c>
      <c r="F89" s="9" t="s">
        <v>104</v>
      </c>
      <c r="G89" s="23">
        <f>VLOOKUP(C89,Ingredient_Master!$B$4:$I$79,8,FALSE())</f>
        <v>0.32</v>
      </c>
      <c r="H89" s="13">
        <f t="shared" si="1"/>
        <v>9.6</v>
      </c>
    </row>
    <row r="90" ht="15.0" customHeight="1">
      <c r="A90" s="9" t="s">
        <v>275</v>
      </c>
      <c r="B90" s="9" t="s">
        <v>276</v>
      </c>
      <c r="C90" s="9" t="s">
        <v>134</v>
      </c>
      <c r="D90" s="9" t="s">
        <v>247</v>
      </c>
      <c r="E90" s="12">
        <v>150.0</v>
      </c>
      <c r="F90" s="9" t="s">
        <v>65</v>
      </c>
      <c r="G90" s="23">
        <f>VLOOKUP(C90,Ingredient_Master!$B$4:$I$79,8,FALSE())</f>
        <v>0.1333333333</v>
      </c>
      <c r="H90" s="13">
        <f t="shared" si="1"/>
        <v>20</v>
      </c>
    </row>
    <row r="91" ht="15.0" customHeight="1">
      <c r="A91" s="9" t="s">
        <v>275</v>
      </c>
      <c r="B91" s="9" t="s">
        <v>276</v>
      </c>
      <c r="C91" s="9" t="s">
        <v>136</v>
      </c>
      <c r="D91" s="9" t="s">
        <v>248</v>
      </c>
      <c r="E91" s="12">
        <v>200.0</v>
      </c>
      <c r="F91" s="9" t="s">
        <v>65</v>
      </c>
      <c r="G91" s="23">
        <f>VLOOKUP(C91,Ingredient_Master!$B$4:$I$79,8,FALSE())</f>
        <v>0.1333333333</v>
      </c>
      <c r="H91" s="13">
        <f t="shared" si="1"/>
        <v>26.66666667</v>
      </c>
    </row>
    <row r="92" ht="15.0" customHeight="1">
      <c r="A92" s="9" t="s">
        <v>275</v>
      </c>
      <c r="B92" s="9" t="s">
        <v>276</v>
      </c>
      <c r="C92" s="9" t="s">
        <v>139</v>
      </c>
      <c r="D92" s="9" t="s">
        <v>233</v>
      </c>
      <c r="E92" s="12">
        <v>6.0</v>
      </c>
      <c r="F92" s="9" t="s">
        <v>65</v>
      </c>
      <c r="G92" s="23">
        <f>VLOOKUP(C92,Ingredient_Master!$B$4:$I$79,8,FALSE())</f>
        <v>0.5555555556</v>
      </c>
      <c r="H92" s="13">
        <f t="shared" si="1"/>
        <v>3.333333333</v>
      </c>
    </row>
    <row r="93" ht="15.0" customHeight="1">
      <c r="A93" s="9" t="s">
        <v>275</v>
      </c>
      <c r="B93" s="9" t="s">
        <v>276</v>
      </c>
      <c r="C93" s="9" t="s">
        <v>141</v>
      </c>
      <c r="D93" s="9" t="s">
        <v>220</v>
      </c>
      <c r="E93" s="12">
        <v>3.0</v>
      </c>
      <c r="F93" s="9" t="s">
        <v>65</v>
      </c>
      <c r="G93" s="23">
        <f>VLOOKUP(C93,Ingredient_Master!$B$4:$I$79,8,FALSE())</f>
        <v>0.4705882353</v>
      </c>
      <c r="H93" s="13">
        <f t="shared" si="1"/>
        <v>1.411764706</v>
      </c>
    </row>
    <row r="94" ht="15.0" customHeight="1">
      <c r="A94" s="9" t="s">
        <v>275</v>
      </c>
      <c r="B94" s="9" t="s">
        <v>276</v>
      </c>
      <c r="C94" s="9" t="s">
        <v>143</v>
      </c>
      <c r="D94" s="9" t="s">
        <v>278</v>
      </c>
      <c r="E94" s="12">
        <v>80.0</v>
      </c>
      <c r="F94" s="9" t="s">
        <v>65</v>
      </c>
      <c r="G94" s="23">
        <f>VLOOKUP(C94,Ingredient_Master!$B$4:$I$79,8,FALSE())</f>
        <v>0.2352941176</v>
      </c>
      <c r="H94" s="13">
        <f t="shared" si="1"/>
        <v>18.82352941</v>
      </c>
    </row>
    <row r="95" ht="15.0" customHeight="1">
      <c r="A95" s="9" t="s">
        <v>275</v>
      </c>
      <c r="B95" s="9" t="s">
        <v>276</v>
      </c>
      <c r="C95" s="9" t="s">
        <v>176</v>
      </c>
      <c r="D95" s="9" t="s">
        <v>220</v>
      </c>
      <c r="E95" s="12">
        <v>2.5</v>
      </c>
      <c r="F95" s="9" t="s">
        <v>65</v>
      </c>
      <c r="G95" s="23">
        <f>VLOOKUP(C95,Ingredient_Master!$B$4:$I$79,8,FALSE())</f>
        <v>0.6</v>
      </c>
      <c r="H95" s="13">
        <f t="shared" si="1"/>
        <v>1.5</v>
      </c>
    </row>
    <row r="96" ht="15.0" customHeight="1">
      <c r="A96" s="9" t="s">
        <v>275</v>
      </c>
      <c r="B96" s="9" t="s">
        <v>276</v>
      </c>
      <c r="C96" s="9" t="s">
        <v>177</v>
      </c>
      <c r="D96" s="9" t="s">
        <v>221</v>
      </c>
      <c r="E96" s="12">
        <v>1.5</v>
      </c>
      <c r="F96" s="9" t="s">
        <v>65</v>
      </c>
      <c r="G96" s="23">
        <f>VLOOKUP(C96,Ingredient_Master!$B$4:$I$79,8,FALSE())</f>
        <v>0.6</v>
      </c>
      <c r="H96" s="13">
        <f t="shared" si="1"/>
        <v>0.9</v>
      </c>
    </row>
    <row r="97" ht="15.0" customHeight="1">
      <c r="A97" s="9" t="s">
        <v>275</v>
      </c>
      <c r="B97" s="9" t="s">
        <v>276</v>
      </c>
      <c r="C97" s="9" t="s">
        <v>174</v>
      </c>
      <c r="D97" s="9" t="s">
        <v>220</v>
      </c>
      <c r="E97" s="12">
        <v>2.5</v>
      </c>
      <c r="F97" s="9" t="s">
        <v>65</v>
      </c>
      <c r="G97" s="23">
        <f>VLOOKUP(C97,Ingredient_Master!$B$4:$I$79,8,FALSE())</f>
        <v>1.2</v>
      </c>
      <c r="H97" s="13">
        <f t="shared" si="1"/>
        <v>3</v>
      </c>
    </row>
    <row r="98" ht="15.0" customHeight="1">
      <c r="A98" s="9" t="s">
        <v>275</v>
      </c>
      <c r="B98" s="9" t="s">
        <v>276</v>
      </c>
      <c r="C98" s="9" t="s">
        <v>112</v>
      </c>
      <c r="D98" s="9" t="s">
        <v>279</v>
      </c>
      <c r="E98" s="12">
        <v>200.0</v>
      </c>
      <c r="F98" s="9" t="s">
        <v>104</v>
      </c>
      <c r="G98" s="23">
        <f>VLOOKUP(C98,Ingredient_Master!$B$4:$I$79,8,FALSE())</f>
        <v>0.45</v>
      </c>
      <c r="H98" s="13">
        <f t="shared" si="1"/>
        <v>90</v>
      </c>
    </row>
    <row r="99" ht="15.0" customHeight="1">
      <c r="A99" s="9" t="s">
        <v>275</v>
      </c>
      <c r="B99" s="9" t="s">
        <v>276</v>
      </c>
      <c r="C99" s="9" t="s">
        <v>151</v>
      </c>
      <c r="D99" s="9" t="s">
        <v>280</v>
      </c>
      <c r="E99" s="12">
        <v>1.0</v>
      </c>
      <c r="F99" s="9" t="s">
        <v>94</v>
      </c>
      <c r="G99" s="23">
        <f>VLOOKUP(C99,Ingredient_Master!$B$4:$I$79,8,FALSE())</f>
        <v>15</v>
      </c>
      <c r="H99" s="13">
        <f t="shared" si="1"/>
        <v>15</v>
      </c>
    </row>
    <row r="100" ht="15.0" customHeight="1">
      <c r="A100" s="9" t="s">
        <v>275</v>
      </c>
      <c r="B100" s="9" t="s">
        <v>276</v>
      </c>
      <c r="C100" s="9" t="s">
        <v>170</v>
      </c>
      <c r="D100" s="9" t="s">
        <v>229</v>
      </c>
      <c r="E100" s="12">
        <v>4.0</v>
      </c>
      <c r="F100" s="9" t="s">
        <v>65</v>
      </c>
      <c r="G100" s="23">
        <f>VLOOKUP(C100,Ingredient_Master!$B$4:$I$79,8,FALSE())</f>
        <v>0.03</v>
      </c>
      <c r="H100" s="13">
        <f t="shared" si="1"/>
        <v>0.12</v>
      </c>
    </row>
    <row r="101" ht="15.0" customHeight="1">
      <c r="A101" s="9" t="s">
        <v>275</v>
      </c>
      <c r="B101" s="9" t="s">
        <v>276</v>
      </c>
      <c r="C101" s="9" t="s">
        <v>147</v>
      </c>
      <c r="D101" s="9" t="s">
        <v>251</v>
      </c>
      <c r="E101" s="12">
        <v>10.0</v>
      </c>
      <c r="F101" s="9" t="s">
        <v>65</v>
      </c>
      <c r="G101" s="23">
        <f>VLOOKUP(C101,Ingredient_Master!$B$4:$I$79,8,FALSE())</f>
        <v>0.1111111111</v>
      </c>
      <c r="H101" s="13">
        <f t="shared" si="1"/>
        <v>1.111111111</v>
      </c>
    </row>
    <row r="102" ht="15.0" customHeight="1">
      <c r="A102" s="9" t="s">
        <v>275</v>
      </c>
      <c r="B102" s="9" t="s">
        <v>276</v>
      </c>
      <c r="C102" s="9" t="s">
        <v>189</v>
      </c>
      <c r="D102" s="9" t="s">
        <v>274</v>
      </c>
      <c r="E102" s="12">
        <v>1.0</v>
      </c>
      <c r="F102" s="9" t="s">
        <v>94</v>
      </c>
      <c r="G102" s="23">
        <f>VLOOKUP(C102,Ingredient_Master!$B$4:$I$79,8,FALSE())</f>
        <v>28</v>
      </c>
      <c r="H102" s="13">
        <f t="shared" si="1"/>
        <v>28</v>
      </c>
    </row>
    <row r="103" ht="15.0" customHeight="1">
      <c r="A103" s="9" t="s">
        <v>281</v>
      </c>
      <c r="B103" s="9" t="s">
        <v>282</v>
      </c>
      <c r="C103" s="9" t="s">
        <v>81</v>
      </c>
      <c r="D103" s="9" t="s">
        <v>264</v>
      </c>
      <c r="E103" s="12">
        <v>300.0</v>
      </c>
      <c r="F103" s="9" t="s">
        <v>65</v>
      </c>
      <c r="G103" s="23">
        <f>VLOOKUP(C103,Ingredient_Master!$B$4:$I$79,8,FALSE())</f>
        <v>0.8333333333</v>
      </c>
      <c r="H103" s="13">
        <f t="shared" si="1"/>
        <v>250</v>
      </c>
    </row>
    <row r="104" ht="15.0" customHeight="1">
      <c r="A104" s="9" t="s">
        <v>281</v>
      </c>
      <c r="B104" s="9" t="s">
        <v>282</v>
      </c>
      <c r="C104" s="9" t="s">
        <v>115</v>
      </c>
      <c r="D104" s="9" t="s">
        <v>283</v>
      </c>
      <c r="E104" s="12">
        <v>60.0</v>
      </c>
      <c r="F104" s="9" t="s">
        <v>65</v>
      </c>
      <c r="G104" s="23">
        <f>VLOOKUP(C104,Ingredient_Master!$B$4:$I$79,8,FALSE())</f>
        <v>0.13</v>
      </c>
      <c r="H104" s="13">
        <f t="shared" si="1"/>
        <v>7.8</v>
      </c>
    </row>
    <row r="105" ht="15.0" customHeight="1">
      <c r="A105" s="9" t="s">
        <v>281</v>
      </c>
      <c r="B105" s="9" t="s">
        <v>282</v>
      </c>
      <c r="C105" s="9" t="s">
        <v>92</v>
      </c>
      <c r="D105" s="9" t="s">
        <v>284</v>
      </c>
      <c r="E105" s="12">
        <v>2.0</v>
      </c>
      <c r="F105" s="9" t="s">
        <v>94</v>
      </c>
      <c r="G105" s="23">
        <f>VLOOKUP(C105,Ingredient_Master!$B$4:$I$79,8,FALSE())</f>
        <v>18</v>
      </c>
      <c r="H105" s="13">
        <f t="shared" si="1"/>
        <v>36</v>
      </c>
    </row>
    <row r="106" ht="15.0" customHeight="1">
      <c r="A106" s="9" t="s">
        <v>281</v>
      </c>
      <c r="B106" s="9" t="s">
        <v>282</v>
      </c>
      <c r="C106" s="9" t="s">
        <v>117</v>
      </c>
      <c r="D106" s="9" t="s">
        <v>285</v>
      </c>
      <c r="E106" s="12">
        <v>100.0</v>
      </c>
      <c r="F106" s="9" t="s">
        <v>65</v>
      </c>
      <c r="G106" s="23">
        <f>VLOOKUP(C106,Ingredient_Master!$B$4:$I$79,8,FALSE())</f>
        <v>0.3</v>
      </c>
      <c r="H106" s="13">
        <f t="shared" si="1"/>
        <v>30</v>
      </c>
    </row>
    <row r="107" ht="15.0" customHeight="1">
      <c r="A107" s="9" t="s">
        <v>281</v>
      </c>
      <c r="B107" s="9" t="s">
        <v>282</v>
      </c>
      <c r="C107" s="9" t="s">
        <v>174</v>
      </c>
      <c r="D107" s="9" t="s">
        <v>221</v>
      </c>
      <c r="E107" s="12">
        <v>1.25</v>
      </c>
      <c r="F107" s="9" t="s">
        <v>65</v>
      </c>
      <c r="G107" s="23">
        <f>VLOOKUP(C107,Ingredient_Master!$B$4:$I$79,8,FALSE())</f>
        <v>1.2</v>
      </c>
      <c r="H107" s="13">
        <f t="shared" si="1"/>
        <v>1.5</v>
      </c>
    </row>
    <row r="108" ht="15.0" customHeight="1">
      <c r="A108" s="9" t="s">
        <v>281</v>
      </c>
      <c r="B108" s="9" t="s">
        <v>282</v>
      </c>
      <c r="C108" s="9" t="s">
        <v>181</v>
      </c>
      <c r="D108" s="9" t="s">
        <v>221</v>
      </c>
      <c r="E108" s="12">
        <v>1.25</v>
      </c>
      <c r="F108" s="9" t="s">
        <v>65</v>
      </c>
      <c r="G108" s="23">
        <f>VLOOKUP(C108,Ingredient_Master!$B$4:$I$79,8,FALSE())</f>
        <v>1</v>
      </c>
      <c r="H108" s="13">
        <f t="shared" si="1"/>
        <v>1.25</v>
      </c>
    </row>
    <row r="109" ht="15.0" customHeight="1">
      <c r="A109" s="9" t="s">
        <v>281</v>
      </c>
      <c r="B109" s="9" t="s">
        <v>282</v>
      </c>
      <c r="C109" s="9" t="s">
        <v>170</v>
      </c>
      <c r="D109" s="9" t="s">
        <v>286</v>
      </c>
      <c r="E109" s="12">
        <v>4.0</v>
      </c>
      <c r="F109" s="9" t="s">
        <v>65</v>
      </c>
      <c r="G109" s="23">
        <f>VLOOKUP(C109,Ingredient_Master!$B$4:$I$79,8,FALSE())</f>
        <v>0.03</v>
      </c>
      <c r="H109" s="13">
        <f t="shared" si="1"/>
        <v>0.12</v>
      </c>
    </row>
    <row r="110" ht="15.0" customHeight="1">
      <c r="A110" s="9" t="s">
        <v>281</v>
      </c>
      <c r="B110" s="9" t="s">
        <v>282</v>
      </c>
      <c r="C110" s="9" t="s">
        <v>102</v>
      </c>
      <c r="D110" s="9" t="s">
        <v>287</v>
      </c>
      <c r="E110" s="12">
        <v>40.0</v>
      </c>
      <c r="F110" s="9" t="s">
        <v>104</v>
      </c>
      <c r="G110" s="23">
        <f>VLOOKUP(C110,Ingredient_Master!$B$4:$I$79,8,FALSE())</f>
        <v>0.32</v>
      </c>
      <c r="H110" s="13">
        <f t="shared" si="1"/>
        <v>12.8</v>
      </c>
    </row>
    <row r="111" ht="15.0" customHeight="1">
      <c r="A111" s="9" t="s">
        <v>281</v>
      </c>
      <c r="B111" s="9" t="s">
        <v>282</v>
      </c>
      <c r="C111" s="9" t="s">
        <v>189</v>
      </c>
      <c r="D111" s="9" t="s">
        <v>268</v>
      </c>
      <c r="E111" s="12">
        <v>2.0</v>
      </c>
      <c r="F111" s="9" t="s">
        <v>94</v>
      </c>
      <c r="G111" s="23">
        <f>VLOOKUP(C111,Ingredient_Master!$B$4:$I$79,8,FALSE())</f>
        <v>28</v>
      </c>
      <c r="H111" s="13">
        <f t="shared" si="1"/>
        <v>56</v>
      </c>
    </row>
    <row r="112" ht="15.0" customHeight="1">
      <c r="A112" s="9" t="s">
        <v>288</v>
      </c>
      <c r="B112" s="9" t="s">
        <v>289</v>
      </c>
      <c r="C112" s="9" t="s">
        <v>67</v>
      </c>
      <c r="D112" s="9" t="s">
        <v>290</v>
      </c>
      <c r="E112" s="12">
        <v>165.0</v>
      </c>
      <c r="F112" s="9" t="s">
        <v>65</v>
      </c>
      <c r="G112" s="23">
        <f>VLOOKUP(C112,Ingredient_Master!$B$4:$I$79,8,FALSE())</f>
        <v>1.058823529</v>
      </c>
      <c r="H112" s="13">
        <f t="shared" si="1"/>
        <v>174.7058824</v>
      </c>
    </row>
    <row r="113" ht="15.0" customHeight="1">
      <c r="A113" s="9" t="s">
        <v>288</v>
      </c>
      <c r="B113" s="9" t="s">
        <v>289</v>
      </c>
      <c r="C113" s="9" t="s">
        <v>121</v>
      </c>
      <c r="D113" s="9" t="s">
        <v>291</v>
      </c>
      <c r="E113" s="12">
        <v>2.0</v>
      </c>
      <c r="F113" s="9" t="s">
        <v>94</v>
      </c>
      <c r="G113" s="23">
        <f>VLOOKUP(C113,Ingredient_Master!$B$4:$I$79,8,FALSE())</f>
        <v>3.888888889</v>
      </c>
      <c r="H113" s="13">
        <f t="shared" si="1"/>
        <v>7.777777778</v>
      </c>
    </row>
    <row r="114" ht="15.0" customHeight="1">
      <c r="A114" s="9" t="s">
        <v>288</v>
      </c>
      <c r="B114" s="9" t="s">
        <v>289</v>
      </c>
      <c r="C114" s="9" t="s">
        <v>102</v>
      </c>
      <c r="D114" s="9" t="s">
        <v>232</v>
      </c>
      <c r="E114" s="12">
        <v>15.0</v>
      </c>
      <c r="F114" s="9" t="s">
        <v>104</v>
      </c>
      <c r="G114" s="23">
        <f>VLOOKUP(C114,Ingredient_Master!$B$4:$I$79,8,FALSE())</f>
        <v>0.32</v>
      </c>
      <c r="H114" s="13">
        <f t="shared" si="1"/>
        <v>4.8</v>
      </c>
    </row>
    <row r="115" ht="15.0" customHeight="1">
      <c r="A115" s="9" t="s">
        <v>288</v>
      </c>
      <c r="B115" s="9" t="s">
        <v>289</v>
      </c>
      <c r="C115" s="9" t="s">
        <v>134</v>
      </c>
      <c r="D115" s="9" t="s">
        <v>292</v>
      </c>
      <c r="E115" s="12">
        <v>80.0</v>
      </c>
      <c r="F115" s="9" t="s">
        <v>65</v>
      </c>
      <c r="G115" s="23">
        <f>VLOOKUP(C115,Ingredient_Master!$B$4:$I$79,8,FALSE())</f>
        <v>0.1333333333</v>
      </c>
      <c r="H115" s="13">
        <f t="shared" si="1"/>
        <v>10.66666667</v>
      </c>
    </row>
    <row r="116" ht="15.0" customHeight="1">
      <c r="A116" s="9" t="s">
        <v>288</v>
      </c>
      <c r="B116" s="9" t="s">
        <v>289</v>
      </c>
      <c r="C116" s="9" t="s">
        <v>136</v>
      </c>
      <c r="D116" s="9" t="s">
        <v>293</v>
      </c>
      <c r="E116" s="12">
        <v>100.0</v>
      </c>
      <c r="F116" s="9" t="s">
        <v>65</v>
      </c>
      <c r="G116" s="23">
        <f>VLOOKUP(C116,Ingredient_Master!$B$4:$I$79,8,FALSE())</f>
        <v>0.1333333333</v>
      </c>
      <c r="H116" s="13">
        <f t="shared" si="1"/>
        <v>13.33333333</v>
      </c>
    </row>
    <row r="117" ht="15.0" customHeight="1">
      <c r="A117" s="9" t="s">
        <v>288</v>
      </c>
      <c r="B117" s="9" t="s">
        <v>289</v>
      </c>
      <c r="C117" s="9" t="s">
        <v>145</v>
      </c>
      <c r="D117" s="9" t="s">
        <v>294</v>
      </c>
      <c r="E117" s="12">
        <v>20.0</v>
      </c>
      <c r="F117" s="9" t="s">
        <v>65</v>
      </c>
      <c r="G117" s="23">
        <f>VLOOKUP(C117,Ingredient_Master!$B$4:$I$79,8,FALSE())</f>
        <v>0.15</v>
      </c>
      <c r="H117" s="13">
        <f t="shared" si="1"/>
        <v>3</v>
      </c>
    </row>
    <row r="118" ht="15.0" customHeight="1">
      <c r="A118" s="9" t="s">
        <v>288</v>
      </c>
      <c r="B118" s="9" t="s">
        <v>289</v>
      </c>
      <c r="C118" s="9" t="s">
        <v>154</v>
      </c>
      <c r="D118" s="9" t="s">
        <v>232</v>
      </c>
      <c r="E118" s="12">
        <v>15.0</v>
      </c>
      <c r="F118" s="9" t="s">
        <v>65</v>
      </c>
      <c r="G118" s="23">
        <f>VLOOKUP(C118,Ingredient_Master!$B$4:$I$79,8,FALSE())</f>
        <v>0.5</v>
      </c>
      <c r="H118" s="13">
        <f t="shared" si="1"/>
        <v>7.5</v>
      </c>
    </row>
    <row r="119" ht="15.0" customHeight="1">
      <c r="A119" s="9" t="s">
        <v>288</v>
      </c>
      <c r="B119" s="9" t="s">
        <v>289</v>
      </c>
      <c r="C119" s="9" t="s">
        <v>157</v>
      </c>
      <c r="D119" s="9" t="s">
        <v>220</v>
      </c>
      <c r="E119" s="12">
        <v>5.0</v>
      </c>
      <c r="F119" s="9" t="s">
        <v>65</v>
      </c>
      <c r="G119" s="23">
        <f>VLOOKUP(C119,Ingredient_Master!$B$4:$I$79,8,FALSE())</f>
        <v>0.6</v>
      </c>
      <c r="H119" s="13">
        <f t="shared" si="1"/>
        <v>3</v>
      </c>
    </row>
    <row r="120" ht="15.0" customHeight="1">
      <c r="A120" s="9" t="s">
        <v>288</v>
      </c>
      <c r="B120" s="9" t="s">
        <v>289</v>
      </c>
      <c r="C120" s="9" t="s">
        <v>100</v>
      </c>
      <c r="D120" s="9" t="s">
        <v>295</v>
      </c>
      <c r="E120" s="12">
        <v>14.0</v>
      </c>
      <c r="F120" s="9" t="s">
        <v>65</v>
      </c>
      <c r="G120" s="23">
        <f>VLOOKUP(C120,Ingredient_Master!$B$4:$I$79,8,FALSE())</f>
        <v>0.9</v>
      </c>
      <c r="H120" s="13">
        <f t="shared" si="1"/>
        <v>12.6</v>
      </c>
    </row>
    <row r="121" ht="15.0" customHeight="1">
      <c r="A121" s="9" t="s">
        <v>288</v>
      </c>
      <c r="B121" s="9" t="s">
        <v>289</v>
      </c>
      <c r="C121" s="9" t="s">
        <v>170</v>
      </c>
      <c r="D121" s="9" t="s">
        <v>229</v>
      </c>
      <c r="E121" s="12">
        <v>2.0</v>
      </c>
      <c r="F121" s="9" t="s">
        <v>65</v>
      </c>
      <c r="G121" s="23">
        <f>VLOOKUP(C121,Ingredient_Master!$B$4:$I$79,8,FALSE())</f>
        <v>0.03</v>
      </c>
      <c r="H121" s="13">
        <f t="shared" si="1"/>
        <v>0.06</v>
      </c>
    </row>
    <row r="122" ht="15.0" customHeight="1">
      <c r="A122" s="9" t="s">
        <v>288</v>
      </c>
      <c r="B122" s="9" t="s">
        <v>289</v>
      </c>
      <c r="C122" s="9" t="s">
        <v>172</v>
      </c>
      <c r="D122" s="9" t="s">
        <v>229</v>
      </c>
      <c r="E122" s="12">
        <v>1.0</v>
      </c>
      <c r="F122" s="9" t="s">
        <v>65</v>
      </c>
      <c r="G122" s="23">
        <f>VLOOKUP(C122,Ingredient_Master!$B$4:$I$79,8,FALSE())</f>
        <v>1.5</v>
      </c>
      <c r="H122" s="13">
        <f t="shared" si="1"/>
        <v>1.5</v>
      </c>
    </row>
    <row r="123" ht="15.0" customHeight="1">
      <c r="A123" s="9" t="s">
        <v>288</v>
      </c>
      <c r="B123" s="9" t="s">
        <v>289</v>
      </c>
      <c r="C123" s="9" t="s">
        <v>174</v>
      </c>
      <c r="D123" s="9" t="s">
        <v>221</v>
      </c>
      <c r="E123" s="12">
        <v>1.25</v>
      </c>
      <c r="F123" s="9" t="s">
        <v>65</v>
      </c>
      <c r="G123" s="23">
        <f>VLOOKUP(C123,Ingredient_Master!$B$4:$I$79,8,FALSE())</f>
        <v>1.2</v>
      </c>
      <c r="H123" s="13">
        <f t="shared" si="1"/>
        <v>1.5</v>
      </c>
    </row>
    <row r="124" ht="15.0" customHeight="1">
      <c r="A124" s="9" t="s">
        <v>288</v>
      </c>
      <c r="B124" s="9" t="s">
        <v>289</v>
      </c>
      <c r="C124" s="9" t="s">
        <v>189</v>
      </c>
      <c r="D124" s="9" t="s">
        <v>268</v>
      </c>
      <c r="E124" s="12">
        <v>1.0</v>
      </c>
      <c r="F124" s="9" t="s">
        <v>94</v>
      </c>
      <c r="G124" s="23">
        <f>VLOOKUP(C124,Ingredient_Master!$B$4:$I$79,8,FALSE())</f>
        <v>28</v>
      </c>
      <c r="H124" s="13">
        <f t="shared" si="1"/>
        <v>28</v>
      </c>
    </row>
    <row r="125" ht="15.0" customHeight="1">
      <c r="A125" s="9" t="s">
        <v>296</v>
      </c>
      <c r="B125" s="9" t="s">
        <v>297</v>
      </c>
      <c r="C125" s="9" t="s">
        <v>75</v>
      </c>
      <c r="D125" s="9" t="s">
        <v>298</v>
      </c>
      <c r="E125" s="12">
        <v>300.0</v>
      </c>
      <c r="F125" s="9" t="s">
        <v>65</v>
      </c>
      <c r="G125" s="23">
        <f>VLOOKUP(C125,Ingredient_Master!$B$4:$I$79,8,FALSE())</f>
        <v>0.7777777778</v>
      </c>
      <c r="H125" s="13">
        <f t="shared" si="1"/>
        <v>233.3333333</v>
      </c>
    </row>
    <row r="126" ht="15.0" customHeight="1">
      <c r="A126" s="9" t="s">
        <v>296</v>
      </c>
      <c r="B126" s="9" t="s">
        <v>297</v>
      </c>
      <c r="C126" s="9" t="s">
        <v>110</v>
      </c>
      <c r="D126" s="9" t="s">
        <v>299</v>
      </c>
      <c r="E126" s="12">
        <v>240.0</v>
      </c>
      <c r="F126" s="9" t="s">
        <v>104</v>
      </c>
      <c r="G126" s="23">
        <f>VLOOKUP(C126,Ingredient_Master!$B$4:$I$79,8,FALSE())</f>
        <v>0.08</v>
      </c>
      <c r="H126" s="13">
        <f t="shared" si="1"/>
        <v>19.2</v>
      </c>
    </row>
    <row r="127" ht="15.0" customHeight="1">
      <c r="A127" s="9" t="s">
        <v>296</v>
      </c>
      <c r="B127" s="9" t="s">
        <v>297</v>
      </c>
      <c r="C127" s="9" t="s">
        <v>115</v>
      </c>
      <c r="D127" s="9" t="s">
        <v>285</v>
      </c>
      <c r="E127" s="12">
        <v>120.0</v>
      </c>
      <c r="F127" s="9" t="s">
        <v>65</v>
      </c>
      <c r="G127" s="23">
        <f>VLOOKUP(C127,Ingredient_Master!$B$4:$I$79,8,FALSE())</f>
        <v>0.13</v>
      </c>
      <c r="H127" s="13">
        <f t="shared" si="1"/>
        <v>15.6</v>
      </c>
    </row>
    <row r="128" ht="15.0" customHeight="1">
      <c r="A128" s="9" t="s">
        <v>296</v>
      </c>
      <c r="B128" s="9" t="s">
        <v>297</v>
      </c>
      <c r="C128" s="9" t="s">
        <v>170</v>
      </c>
      <c r="D128" s="9" t="s">
        <v>220</v>
      </c>
      <c r="E128" s="12">
        <v>6.0</v>
      </c>
      <c r="F128" s="9" t="s">
        <v>65</v>
      </c>
      <c r="G128" s="23">
        <f>VLOOKUP(C128,Ingredient_Master!$B$4:$I$79,8,FALSE())</f>
        <v>0.03</v>
      </c>
      <c r="H128" s="13">
        <f t="shared" si="1"/>
        <v>0.18</v>
      </c>
    </row>
    <row r="129" ht="15.0" customHeight="1">
      <c r="A129" s="9" t="s">
        <v>296</v>
      </c>
      <c r="B129" s="9" t="s">
        <v>297</v>
      </c>
      <c r="C129" s="9" t="s">
        <v>172</v>
      </c>
      <c r="D129" s="9" t="s">
        <v>220</v>
      </c>
      <c r="E129" s="12">
        <v>2.5</v>
      </c>
      <c r="F129" s="9" t="s">
        <v>65</v>
      </c>
      <c r="G129" s="23">
        <f>VLOOKUP(C129,Ingredient_Master!$B$4:$I$79,8,FALSE())</f>
        <v>1.5</v>
      </c>
      <c r="H129" s="13">
        <f t="shared" si="1"/>
        <v>3.75</v>
      </c>
    </row>
    <row r="130" ht="15.0" customHeight="1">
      <c r="A130" s="9" t="s">
        <v>296</v>
      </c>
      <c r="B130" s="9" t="s">
        <v>297</v>
      </c>
      <c r="C130" s="9" t="s">
        <v>174</v>
      </c>
      <c r="D130" s="9" t="s">
        <v>220</v>
      </c>
      <c r="E130" s="12">
        <v>2.5</v>
      </c>
      <c r="F130" s="9" t="s">
        <v>65</v>
      </c>
      <c r="G130" s="23">
        <f>VLOOKUP(C130,Ingredient_Master!$B$4:$I$79,8,FALSE())</f>
        <v>1.2</v>
      </c>
      <c r="H130" s="13">
        <f t="shared" si="1"/>
        <v>3</v>
      </c>
    </row>
    <row r="131" ht="15.0" customHeight="1">
      <c r="A131" s="9" t="s">
        <v>296</v>
      </c>
      <c r="B131" s="9" t="s">
        <v>297</v>
      </c>
      <c r="C131" s="9" t="s">
        <v>181</v>
      </c>
      <c r="D131" s="9" t="s">
        <v>221</v>
      </c>
      <c r="E131" s="12">
        <v>1.25</v>
      </c>
      <c r="F131" s="9" t="s">
        <v>65</v>
      </c>
      <c r="G131" s="23">
        <f>VLOOKUP(C131,Ingredient_Master!$B$4:$I$79,8,FALSE())</f>
        <v>1</v>
      </c>
      <c r="H131" s="13">
        <f t="shared" si="1"/>
        <v>1.25</v>
      </c>
    </row>
    <row r="132" ht="15.0" customHeight="1">
      <c r="A132" s="9" t="s">
        <v>296</v>
      </c>
      <c r="B132" s="9" t="s">
        <v>297</v>
      </c>
      <c r="C132" s="9" t="s">
        <v>102</v>
      </c>
      <c r="D132" s="9" t="s">
        <v>287</v>
      </c>
      <c r="E132" s="12">
        <v>60.0</v>
      </c>
      <c r="F132" s="9" t="s">
        <v>104</v>
      </c>
      <c r="G132" s="23">
        <f>VLOOKUP(C132,Ingredient_Master!$B$4:$I$79,8,FALSE())</f>
        <v>0.32</v>
      </c>
      <c r="H132" s="13">
        <f t="shared" si="1"/>
        <v>19.2</v>
      </c>
    </row>
    <row r="133" ht="15.0" customHeight="1">
      <c r="A133" s="9" t="s">
        <v>296</v>
      </c>
      <c r="B133" s="9" t="s">
        <v>297</v>
      </c>
      <c r="C133" s="9" t="s">
        <v>119</v>
      </c>
      <c r="D133" s="9" t="s">
        <v>300</v>
      </c>
      <c r="E133" s="12">
        <v>2.0</v>
      </c>
      <c r="F133" s="9" t="s">
        <v>94</v>
      </c>
      <c r="G133" s="23">
        <f>VLOOKUP(C133,Ingredient_Master!$B$4:$I$79,8,FALSE())</f>
        <v>25</v>
      </c>
      <c r="H133" s="13">
        <f t="shared" si="1"/>
        <v>50</v>
      </c>
    </row>
    <row r="134" ht="15.0" customHeight="1">
      <c r="A134" s="9" t="s">
        <v>296</v>
      </c>
      <c r="B134" s="9" t="s">
        <v>297</v>
      </c>
      <c r="C134" s="9" t="s">
        <v>145</v>
      </c>
      <c r="D134" s="9" t="s">
        <v>294</v>
      </c>
      <c r="E134" s="12">
        <v>30.0</v>
      </c>
      <c r="F134" s="9" t="s">
        <v>65</v>
      </c>
      <c r="G134" s="23">
        <f>VLOOKUP(C134,Ingredient_Master!$B$4:$I$79,8,FALSE())</f>
        <v>0.15</v>
      </c>
      <c r="H134" s="13">
        <f t="shared" si="1"/>
        <v>4.5</v>
      </c>
    </row>
    <row r="135" ht="15.0" customHeight="1">
      <c r="A135" s="9" t="s">
        <v>296</v>
      </c>
      <c r="B135" s="9" t="s">
        <v>297</v>
      </c>
      <c r="C135" s="9" t="s">
        <v>136</v>
      </c>
      <c r="D135" s="9" t="s">
        <v>301</v>
      </c>
      <c r="E135" s="12">
        <v>100.0</v>
      </c>
      <c r="F135" s="9" t="s">
        <v>65</v>
      </c>
      <c r="G135" s="23">
        <f>VLOOKUP(C135,Ingredient_Master!$B$4:$I$79,8,FALSE())</f>
        <v>0.1333333333</v>
      </c>
      <c r="H135" s="13">
        <f t="shared" si="1"/>
        <v>13.33333333</v>
      </c>
    </row>
    <row r="136" ht="15.0" customHeight="1">
      <c r="A136" s="9" t="s">
        <v>296</v>
      </c>
      <c r="B136" s="9" t="s">
        <v>297</v>
      </c>
      <c r="C136" s="9" t="s">
        <v>154</v>
      </c>
      <c r="D136" s="9" t="s">
        <v>302</v>
      </c>
      <c r="E136" s="12">
        <v>30.0</v>
      </c>
      <c r="F136" s="9" t="s">
        <v>65</v>
      </c>
      <c r="G136" s="23">
        <f>VLOOKUP(C136,Ingredient_Master!$B$4:$I$79,8,FALSE())</f>
        <v>0.5</v>
      </c>
      <c r="H136" s="13">
        <f t="shared" si="1"/>
        <v>15</v>
      </c>
    </row>
    <row r="137" ht="15.0" customHeight="1">
      <c r="A137" s="9" t="s">
        <v>296</v>
      </c>
      <c r="B137" s="9" t="s">
        <v>297</v>
      </c>
      <c r="C137" s="9" t="s">
        <v>189</v>
      </c>
      <c r="D137" s="9" t="s">
        <v>268</v>
      </c>
      <c r="E137" s="12">
        <v>2.0</v>
      </c>
      <c r="F137" s="9" t="s">
        <v>94</v>
      </c>
      <c r="G137" s="23">
        <f>VLOOKUP(C137,Ingredient_Master!$B$4:$I$79,8,FALSE())</f>
        <v>28</v>
      </c>
      <c r="H137" s="13">
        <f t="shared" si="1"/>
        <v>56</v>
      </c>
    </row>
    <row r="138" ht="15.0" customHeight="1">
      <c r="A138" s="9" t="s">
        <v>303</v>
      </c>
      <c r="B138" s="9" t="s">
        <v>304</v>
      </c>
      <c r="C138" s="9" t="s">
        <v>92</v>
      </c>
      <c r="D138" s="9" t="s">
        <v>305</v>
      </c>
      <c r="E138" s="12">
        <v>2.0</v>
      </c>
      <c r="F138" s="9" t="s">
        <v>94</v>
      </c>
      <c r="G138" s="23">
        <f>VLOOKUP(C138,Ingredient_Master!$B$4:$I$79,8,FALSE())</f>
        <v>18</v>
      </c>
      <c r="H138" s="13">
        <f t="shared" si="1"/>
        <v>36</v>
      </c>
    </row>
    <row r="139" ht="15.0" customHeight="1">
      <c r="A139" s="9" t="s">
        <v>303</v>
      </c>
      <c r="B139" s="9" t="s">
        <v>304</v>
      </c>
      <c r="C139" s="9" t="s">
        <v>121</v>
      </c>
      <c r="D139" s="9" t="s">
        <v>291</v>
      </c>
      <c r="E139" s="12">
        <v>2.0</v>
      </c>
      <c r="F139" s="9" t="s">
        <v>94</v>
      </c>
      <c r="G139" s="23">
        <f>VLOOKUP(C139,Ingredient_Master!$B$4:$I$79,8,FALSE())</f>
        <v>3.888888889</v>
      </c>
      <c r="H139" s="13">
        <f t="shared" si="1"/>
        <v>7.777777778</v>
      </c>
    </row>
    <row r="140" ht="15.0" customHeight="1">
      <c r="A140" s="9" t="s">
        <v>303</v>
      </c>
      <c r="B140" s="9" t="s">
        <v>304</v>
      </c>
      <c r="C140" s="9" t="s">
        <v>100</v>
      </c>
      <c r="D140" s="9" t="s">
        <v>306</v>
      </c>
      <c r="E140" s="12">
        <v>10.0</v>
      </c>
      <c r="F140" s="9" t="s">
        <v>65</v>
      </c>
      <c r="G140" s="23">
        <f>VLOOKUP(C140,Ingredient_Master!$B$4:$I$79,8,FALSE())</f>
        <v>0.9</v>
      </c>
      <c r="H140" s="13">
        <f t="shared" si="1"/>
        <v>9</v>
      </c>
    </row>
    <row r="141" ht="15.0" customHeight="1">
      <c r="A141" s="9" t="s">
        <v>303</v>
      </c>
      <c r="B141" s="9" t="s">
        <v>304</v>
      </c>
      <c r="C141" s="9" t="s">
        <v>154</v>
      </c>
      <c r="D141" s="9" t="s">
        <v>232</v>
      </c>
      <c r="E141" s="12">
        <v>15.0</v>
      </c>
      <c r="F141" s="9" t="s">
        <v>65</v>
      </c>
      <c r="G141" s="23">
        <f>VLOOKUP(C141,Ingredient_Master!$B$4:$I$79,8,FALSE())</f>
        <v>0.5</v>
      </c>
      <c r="H141" s="13">
        <f t="shared" si="1"/>
        <v>7.5</v>
      </c>
    </row>
    <row r="142" ht="15.0" customHeight="1">
      <c r="A142" s="9" t="s">
        <v>303</v>
      </c>
      <c r="B142" s="9" t="s">
        <v>304</v>
      </c>
      <c r="C142" s="9" t="s">
        <v>157</v>
      </c>
      <c r="D142" s="9" t="s">
        <v>220</v>
      </c>
      <c r="E142" s="12">
        <v>5.0</v>
      </c>
      <c r="F142" s="9" t="s">
        <v>65</v>
      </c>
      <c r="G142" s="23">
        <f>VLOOKUP(C142,Ingredient_Master!$B$4:$I$79,8,FALSE())</f>
        <v>0.6</v>
      </c>
      <c r="H142" s="13">
        <f t="shared" si="1"/>
        <v>3</v>
      </c>
    </row>
    <row r="143" ht="15.0" customHeight="1">
      <c r="A143" s="9" t="s">
        <v>303</v>
      </c>
      <c r="B143" s="9" t="s">
        <v>304</v>
      </c>
      <c r="C143" s="9" t="s">
        <v>134</v>
      </c>
      <c r="D143" s="9" t="s">
        <v>307</v>
      </c>
      <c r="E143" s="12">
        <v>15.0</v>
      </c>
      <c r="F143" s="9" t="s">
        <v>65</v>
      </c>
      <c r="G143" s="23">
        <f>VLOOKUP(C143,Ingredient_Master!$B$4:$I$79,8,FALSE())</f>
        <v>0.1333333333</v>
      </c>
      <c r="H143" s="13">
        <f t="shared" si="1"/>
        <v>2</v>
      </c>
    </row>
    <row r="144" ht="15.0" customHeight="1">
      <c r="A144" s="9" t="s">
        <v>303</v>
      </c>
      <c r="B144" s="9" t="s">
        <v>304</v>
      </c>
      <c r="C144" s="9" t="s">
        <v>136</v>
      </c>
      <c r="D144" s="9" t="s">
        <v>307</v>
      </c>
      <c r="E144" s="12">
        <v>20.0</v>
      </c>
      <c r="F144" s="9" t="s">
        <v>65</v>
      </c>
      <c r="G144" s="23">
        <f>VLOOKUP(C144,Ingredient_Master!$B$4:$I$79,8,FALSE())</f>
        <v>0.1333333333</v>
      </c>
      <c r="H144" s="13">
        <f t="shared" si="1"/>
        <v>2.666666667</v>
      </c>
    </row>
    <row r="145" ht="15.0" customHeight="1">
      <c r="A145" s="9" t="s">
        <v>303</v>
      </c>
      <c r="B145" s="9" t="s">
        <v>304</v>
      </c>
      <c r="C145" s="9" t="s">
        <v>145</v>
      </c>
      <c r="D145" s="9" t="s">
        <v>308</v>
      </c>
      <c r="E145" s="12">
        <v>15.0</v>
      </c>
      <c r="F145" s="9" t="s">
        <v>65</v>
      </c>
      <c r="G145" s="23">
        <f>VLOOKUP(C145,Ingredient_Master!$B$4:$I$79,8,FALSE())</f>
        <v>0.15</v>
      </c>
      <c r="H145" s="13">
        <f t="shared" si="1"/>
        <v>2.25</v>
      </c>
    </row>
    <row r="146" ht="15.0" customHeight="1">
      <c r="A146" s="9" t="s">
        <v>303</v>
      </c>
      <c r="B146" s="9" t="s">
        <v>304</v>
      </c>
      <c r="C146" s="9" t="s">
        <v>170</v>
      </c>
      <c r="D146" s="9" t="s">
        <v>229</v>
      </c>
      <c r="E146" s="12">
        <v>1.0</v>
      </c>
      <c r="F146" s="9" t="s">
        <v>65</v>
      </c>
      <c r="G146" s="23">
        <f>VLOOKUP(C146,Ingredient_Master!$B$4:$I$79,8,FALSE())</f>
        <v>0.03</v>
      </c>
      <c r="H146" s="13">
        <f t="shared" si="1"/>
        <v>0.03</v>
      </c>
    </row>
    <row r="147" ht="15.0" customHeight="1">
      <c r="A147" s="9" t="s">
        <v>303</v>
      </c>
      <c r="B147" s="9" t="s">
        <v>304</v>
      </c>
      <c r="C147" s="9" t="s">
        <v>172</v>
      </c>
      <c r="D147" s="9" t="s">
        <v>229</v>
      </c>
      <c r="E147" s="12">
        <v>1.0</v>
      </c>
      <c r="F147" s="9" t="s">
        <v>65</v>
      </c>
      <c r="G147" s="23">
        <f>VLOOKUP(C147,Ingredient_Master!$B$4:$I$79,8,FALSE())</f>
        <v>1.5</v>
      </c>
      <c r="H147" s="13">
        <f t="shared" si="1"/>
        <v>1.5</v>
      </c>
    </row>
    <row r="148" ht="15.0" customHeight="1">
      <c r="A148" s="9" t="s">
        <v>303</v>
      </c>
      <c r="B148" s="9" t="s">
        <v>304</v>
      </c>
      <c r="C148" s="9" t="s">
        <v>189</v>
      </c>
      <c r="D148" s="9" t="s">
        <v>274</v>
      </c>
      <c r="E148" s="12">
        <v>1.0</v>
      </c>
      <c r="F148" s="9" t="s">
        <v>94</v>
      </c>
      <c r="G148" s="23">
        <f>VLOOKUP(C148,Ingredient_Master!$B$4:$I$79,8,FALSE())</f>
        <v>28</v>
      </c>
      <c r="H148" s="13">
        <f t="shared" si="1"/>
        <v>28</v>
      </c>
    </row>
    <row r="149" ht="15.0" customHeight="1">
      <c r="A149" s="9" t="s">
        <v>309</v>
      </c>
      <c r="B149" s="9" t="s">
        <v>310</v>
      </c>
      <c r="C149" s="9" t="s">
        <v>115</v>
      </c>
      <c r="D149" s="9" t="s">
        <v>311</v>
      </c>
      <c r="E149" s="12">
        <v>250.0</v>
      </c>
      <c r="F149" s="9" t="s">
        <v>65</v>
      </c>
      <c r="G149" s="23">
        <f>VLOOKUP(C149,Ingredient_Master!$B$4:$I$79,8,FALSE())</f>
        <v>0.13</v>
      </c>
      <c r="H149" s="13">
        <f t="shared" si="1"/>
        <v>32.5</v>
      </c>
    </row>
    <row r="150" ht="15.0" customHeight="1">
      <c r="A150" s="9" t="s">
        <v>309</v>
      </c>
      <c r="B150" s="9" t="s">
        <v>310</v>
      </c>
      <c r="C150" s="9" t="s">
        <v>102</v>
      </c>
      <c r="D150" s="9" t="s">
        <v>311</v>
      </c>
      <c r="E150" s="12">
        <v>10.0</v>
      </c>
      <c r="F150" s="9" t="s">
        <v>104</v>
      </c>
      <c r="G150" s="23">
        <f>VLOOKUP(C150,Ingredient_Master!$B$4:$I$79,8,FALSE())</f>
        <v>0.32</v>
      </c>
      <c r="H150" s="13">
        <f t="shared" si="1"/>
        <v>3.2</v>
      </c>
    </row>
    <row r="151" ht="15.0" customHeight="1">
      <c r="A151" s="9" t="s">
        <v>309</v>
      </c>
      <c r="B151" s="9" t="s">
        <v>310</v>
      </c>
      <c r="C151" s="9" t="s">
        <v>137</v>
      </c>
      <c r="D151" s="9" t="s">
        <v>302</v>
      </c>
      <c r="E151" s="12">
        <v>120.0</v>
      </c>
      <c r="F151" s="9" t="s">
        <v>65</v>
      </c>
      <c r="G151" s="23">
        <f>VLOOKUP(C151,Ingredient_Master!$B$4:$I$79,8,FALSE())</f>
        <v>0.4</v>
      </c>
      <c r="H151" s="13">
        <f t="shared" si="1"/>
        <v>48</v>
      </c>
    </row>
    <row r="152" ht="15.0" customHeight="1">
      <c r="A152" s="9" t="s">
        <v>309</v>
      </c>
      <c r="B152" s="9" t="s">
        <v>310</v>
      </c>
      <c r="C152" s="9" t="s">
        <v>96</v>
      </c>
      <c r="D152" s="9" t="s">
        <v>312</v>
      </c>
      <c r="E152" s="12">
        <v>180.0</v>
      </c>
      <c r="F152" s="9" t="s">
        <v>65</v>
      </c>
      <c r="G152" s="23">
        <f>VLOOKUP(C152,Ingredient_Master!$B$4:$I$79,8,FALSE())</f>
        <v>1.1</v>
      </c>
      <c r="H152" s="13">
        <f t="shared" si="1"/>
        <v>198</v>
      </c>
    </row>
    <row r="153" ht="15.0" customHeight="1">
      <c r="A153" s="9" t="s">
        <v>309</v>
      </c>
      <c r="B153" s="9" t="s">
        <v>310</v>
      </c>
      <c r="C153" s="9" t="s">
        <v>152</v>
      </c>
      <c r="D153" s="9" t="s">
        <v>294</v>
      </c>
      <c r="E153" s="12">
        <v>5.0</v>
      </c>
      <c r="F153" s="9" t="s">
        <v>65</v>
      </c>
      <c r="G153" s="23">
        <f>VLOOKUP(C153,Ingredient_Master!$B$4:$I$79,8,FALSE())</f>
        <v>2</v>
      </c>
      <c r="H153" s="13">
        <f t="shared" si="1"/>
        <v>10</v>
      </c>
    </row>
    <row r="154" ht="15.0" customHeight="1">
      <c r="A154" s="9" t="s">
        <v>309</v>
      </c>
      <c r="B154" s="9" t="s">
        <v>310</v>
      </c>
      <c r="C154" s="9" t="s">
        <v>106</v>
      </c>
      <c r="D154" s="9" t="s">
        <v>313</v>
      </c>
      <c r="E154" s="12">
        <v>10.0</v>
      </c>
      <c r="F154" s="9" t="s">
        <v>104</v>
      </c>
      <c r="G154" s="23">
        <f>VLOOKUP(C154,Ingredient_Master!$B$4:$I$79,8,FALSE())</f>
        <v>1.2</v>
      </c>
      <c r="H154" s="13">
        <f t="shared" si="1"/>
        <v>12</v>
      </c>
    </row>
    <row r="155" ht="15.0" customHeight="1">
      <c r="A155" s="9" t="s">
        <v>309</v>
      </c>
      <c r="B155" s="9" t="s">
        <v>310</v>
      </c>
      <c r="C155" s="9" t="s">
        <v>170</v>
      </c>
      <c r="D155" s="9" t="s">
        <v>286</v>
      </c>
      <c r="E155" s="12">
        <v>2.0</v>
      </c>
      <c r="F155" s="9" t="s">
        <v>65</v>
      </c>
      <c r="G155" s="23">
        <f>VLOOKUP(C155,Ingredient_Master!$B$4:$I$79,8,FALSE())</f>
        <v>0.03</v>
      </c>
      <c r="H155" s="13">
        <f t="shared" si="1"/>
        <v>0.06</v>
      </c>
    </row>
    <row r="156" ht="15.0" customHeight="1">
      <c r="A156" s="9" t="s">
        <v>309</v>
      </c>
      <c r="B156" s="9" t="s">
        <v>310</v>
      </c>
      <c r="C156" s="9" t="s">
        <v>187</v>
      </c>
      <c r="D156" s="9" t="s">
        <v>314</v>
      </c>
      <c r="E156" s="12">
        <v>1.0</v>
      </c>
      <c r="F156" s="9" t="s">
        <v>94</v>
      </c>
      <c r="G156" s="23">
        <f>VLOOKUP(C156,Ingredient_Master!$B$4:$I$79,8,FALSE())</f>
        <v>80</v>
      </c>
      <c r="H156" s="13">
        <f t="shared" si="1"/>
        <v>80</v>
      </c>
    </row>
    <row r="157" ht="15.0" customHeight="1">
      <c r="A157" s="9" t="s">
        <v>315</v>
      </c>
      <c r="B157" s="9" t="s">
        <v>316</v>
      </c>
      <c r="C157" s="9" t="s">
        <v>115</v>
      </c>
      <c r="D157" s="9" t="s">
        <v>311</v>
      </c>
      <c r="E157" s="12">
        <v>250.0</v>
      </c>
      <c r="F157" s="9" t="s">
        <v>65</v>
      </c>
      <c r="G157" s="23">
        <f>VLOOKUP(C157,Ingredient_Master!$B$4:$I$79,8,FALSE())</f>
        <v>0.13</v>
      </c>
      <c r="H157" s="13">
        <f t="shared" si="1"/>
        <v>32.5</v>
      </c>
    </row>
    <row r="158" ht="15.0" customHeight="1">
      <c r="A158" s="9" t="s">
        <v>315</v>
      </c>
      <c r="B158" s="9" t="s">
        <v>316</v>
      </c>
      <c r="C158" s="9" t="s">
        <v>102</v>
      </c>
      <c r="D158" s="9" t="s">
        <v>311</v>
      </c>
      <c r="E158" s="12">
        <v>10.0</v>
      </c>
      <c r="F158" s="9" t="s">
        <v>104</v>
      </c>
      <c r="G158" s="23">
        <f>VLOOKUP(C158,Ingredient_Master!$B$4:$I$79,8,FALSE())</f>
        <v>0.32</v>
      </c>
      <c r="H158" s="13">
        <f t="shared" si="1"/>
        <v>3.2</v>
      </c>
    </row>
    <row r="159" ht="15.0" customHeight="1">
      <c r="A159" s="9" t="s">
        <v>315</v>
      </c>
      <c r="B159" s="9" t="s">
        <v>316</v>
      </c>
      <c r="C159" s="9" t="s">
        <v>159</v>
      </c>
      <c r="D159" s="9" t="s">
        <v>317</v>
      </c>
      <c r="E159" s="12">
        <v>100.0</v>
      </c>
      <c r="F159" s="9" t="s">
        <v>65</v>
      </c>
      <c r="G159" s="23">
        <f>VLOOKUP(C159,Ingredient_Master!$B$4:$I$79,8,FALSE())</f>
        <v>0.6</v>
      </c>
      <c r="H159" s="13">
        <f t="shared" si="1"/>
        <v>60</v>
      </c>
    </row>
    <row r="160" ht="15.0" customHeight="1">
      <c r="A160" s="9" t="s">
        <v>315</v>
      </c>
      <c r="B160" s="9" t="s">
        <v>316</v>
      </c>
      <c r="C160" s="9" t="s">
        <v>75</v>
      </c>
      <c r="D160" s="9" t="s">
        <v>318</v>
      </c>
      <c r="E160" s="12">
        <v>120.0</v>
      </c>
      <c r="F160" s="9" t="s">
        <v>65</v>
      </c>
      <c r="G160" s="23">
        <f>VLOOKUP(C160,Ingredient_Master!$B$4:$I$79,8,FALSE())</f>
        <v>0.7777777778</v>
      </c>
      <c r="H160" s="13">
        <f t="shared" si="1"/>
        <v>93.33333333</v>
      </c>
    </row>
    <row r="161" ht="15.0" customHeight="1">
      <c r="A161" s="9" t="s">
        <v>315</v>
      </c>
      <c r="B161" s="9" t="s">
        <v>316</v>
      </c>
      <c r="C161" s="9" t="s">
        <v>96</v>
      </c>
      <c r="D161" s="9" t="s">
        <v>312</v>
      </c>
      <c r="E161" s="12">
        <v>180.0</v>
      </c>
      <c r="F161" s="9" t="s">
        <v>65</v>
      </c>
      <c r="G161" s="23">
        <f>VLOOKUP(C161,Ingredient_Master!$B$4:$I$79,8,FALSE())</f>
        <v>1.1</v>
      </c>
      <c r="H161" s="13">
        <f t="shared" si="1"/>
        <v>198</v>
      </c>
    </row>
    <row r="162" ht="15.0" customHeight="1">
      <c r="A162" s="9" t="s">
        <v>315</v>
      </c>
      <c r="B162" s="9" t="s">
        <v>316</v>
      </c>
      <c r="C162" s="9" t="s">
        <v>134</v>
      </c>
      <c r="D162" s="9" t="s">
        <v>319</v>
      </c>
      <c r="E162" s="12">
        <v>40.0</v>
      </c>
      <c r="F162" s="9" t="s">
        <v>65</v>
      </c>
      <c r="G162" s="23">
        <f>VLOOKUP(C162,Ingredient_Master!$B$4:$I$79,8,FALSE())</f>
        <v>0.1333333333</v>
      </c>
      <c r="H162" s="13">
        <f t="shared" si="1"/>
        <v>5.333333333</v>
      </c>
    </row>
    <row r="163" ht="15.0" customHeight="1">
      <c r="A163" s="9" t="s">
        <v>315</v>
      </c>
      <c r="B163" s="9" t="s">
        <v>316</v>
      </c>
      <c r="C163" s="9" t="s">
        <v>170</v>
      </c>
      <c r="D163" s="9" t="s">
        <v>286</v>
      </c>
      <c r="E163" s="12">
        <v>2.0</v>
      </c>
      <c r="F163" s="9" t="s">
        <v>65</v>
      </c>
      <c r="G163" s="23">
        <f>VLOOKUP(C163,Ingredient_Master!$B$4:$I$79,8,FALSE())</f>
        <v>0.03</v>
      </c>
      <c r="H163" s="13">
        <f t="shared" si="1"/>
        <v>0.06</v>
      </c>
    </row>
    <row r="164" ht="15.0" customHeight="1">
      <c r="A164" s="9" t="s">
        <v>315</v>
      </c>
      <c r="B164" s="9" t="s">
        <v>316</v>
      </c>
      <c r="C164" s="9" t="s">
        <v>187</v>
      </c>
      <c r="D164" s="9" t="s">
        <v>314</v>
      </c>
      <c r="E164" s="12">
        <v>1.0</v>
      </c>
      <c r="F164" s="9" t="s">
        <v>94</v>
      </c>
      <c r="G164" s="23">
        <f>VLOOKUP(C164,Ingredient_Master!$B$4:$I$79,8,FALSE())</f>
        <v>80</v>
      </c>
      <c r="H164" s="13">
        <f t="shared" si="1"/>
        <v>80</v>
      </c>
    </row>
    <row r="165" ht="15.0" customHeight="1">
      <c r="A165" s="9" t="s">
        <v>320</v>
      </c>
      <c r="B165" s="9" t="s">
        <v>321</v>
      </c>
      <c r="C165" s="9" t="s">
        <v>115</v>
      </c>
      <c r="D165" s="9" t="s">
        <v>311</v>
      </c>
      <c r="E165" s="12">
        <v>250.0</v>
      </c>
      <c r="F165" s="9" t="s">
        <v>65</v>
      </c>
      <c r="G165" s="23">
        <f>VLOOKUP(C165,Ingredient_Master!$B$4:$I$79,8,FALSE())</f>
        <v>0.13</v>
      </c>
      <c r="H165" s="13">
        <f t="shared" si="1"/>
        <v>32.5</v>
      </c>
    </row>
    <row r="166" ht="15.0" customHeight="1">
      <c r="A166" s="9" t="s">
        <v>320</v>
      </c>
      <c r="B166" s="9" t="s">
        <v>321</v>
      </c>
      <c r="C166" s="9" t="s">
        <v>102</v>
      </c>
      <c r="D166" s="9" t="s">
        <v>311</v>
      </c>
      <c r="E166" s="12">
        <v>10.0</v>
      </c>
      <c r="F166" s="9" t="s">
        <v>104</v>
      </c>
      <c r="G166" s="23">
        <f>VLOOKUP(C166,Ingredient_Master!$B$4:$I$79,8,FALSE())</f>
        <v>0.32</v>
      </c>
      <c r="H166" s="13">
        <f t="shared" si="1"/>
        <v>3.2</v>
      </c>
    </row>
    <row r="167" ht="15.0" customHeight="1">
      <c r="A167" s="9" t="s">
        <v>320</v>
      </c>
      <c r="B167" s="9" t="s">
        <v>321</v>
      </c>
      <c r="C167" s="9" t="s">
        <v>137</v>
      </c>
      <c r="D167" s="9" t="s">
        <v>302</v>
      </c>
      <c r="E167" s="12">
        <v>110.0</v>
      </c>
      <c r="F167" s="9" t="s">
        <v>65</v>
      </c>
      <c r="G167" s="23">
        <f>VLOOKUP(C167,Ingredient_Master!$B$4:$I$79,8,FALSE())</f>
        <v>0.4</v>
      </c>
      <c r="H167" s="13">
        <f t="shared" si="1"/>
        <v>44</v>
      </c>
    </row>
    <row r="168" ht="15.0" customHeight="1">
      <c r="A168" s="9" t="s">
        <v>320</v>
      </c>
      <c r="B168" s="9" t="s">
        <v>321</v>
      </c>
      <c r="C168" s="9" t="s">
        <v>96</v>
      </c>
      <c r="D168" s="9" t="s">
        <v>322</v>
      </c>
      <c r="E168" s="12">
        <v>190.0</v>
      </c>
      <c r="F168" s="9" t="s">
        <v>65</v>
      </c>
      <c r="G168" s="23">
        <f>VLOOKUP(C168,Ingredient_Master!$B$4:$I$79,8,FALSE())</f>
        <v>1.1</v>
      </c>
      <c r="H168" s="13">
        <f t="shared" si="1"/>
        <v>209</v>
      </c>
    </row>
    <row r="169" ht="15.0" customHeight="1">
      <c r="A169" s="9" t="s">
        <v>320</v>
      </c>
      <c r="B169" s="9" t="s">
        <v>321</v>
      </c>
      <c r="C169" s="9" t="s">
        <v>83</v>
      </c>
      <c r="D169" s="9" t="s">
        <v>323</v>
      </c>
      <c r="E169" s="12">
        <v>90.0</v>
      </c>
      <c r="F169" s="9" t="s">
        <v>65</v>
      </c>
      <c r="G169" s="23">
        <f>VLOOKUP(C169,Ingredient_Master!$B$4:$I$79,8,FALSE())</f>
        <v>0.9183673469</v>
      </c>
      <c r="H169" s="13">
        <f t="shared" si="1"/>
        <v>82.65306122</v>
      </c>
    </row>
    <row r="170" ht="15.0" customHeight="1">
      <c r="A170" s="9" t="s">
        <v>320</v>
      </c>
      <c r="B170" s="9" t="s">
        <v>321</v>
      </c>
      <c r="C170" s="9" t="s">
        <v>130</v>
      </c>
      <c r="D170" s="9" t="s">
        <v>324</v>
      </c>
      <c r="E170" s="12">
        <v>70.0</v>
      </c>
      <c r="F170" s="9" t="s">
        <v>65</v>
      </c>
      <c r="G170" s="23">
        <f>VLOOKUP(C170,Ingredient_Master!$B$4:$I$79,8,FALSE())</f>
        <v>0.25</v>
      </c>
      <c r="H170" s="13">
        <f t="shared" si="1"/>
        <v>17.5</v>
      </c>
    </row>
    <row r="171" ht="15.0" customHeight="1">
      <c r="A171" s="9" t="s">
        <v>320</v>
      </c>
      <c r="B171" s="9" t="s">
        <v>321</v>
      </c>
      <c r="C171" s="9" t="s">
        <v>170</v>
      </c>
      <c r="D171" s="9" t="s">
        <v>286</v>
      </c>
      <c r="E171" s="12">
        <v>2.0</v>
      </c>
      <c r="F171" s="9" t="s">
        <v>65</v>
      </c>
      <c r="G171" s="23">
        <f>VLOOKUP(C171,Ingredient_Master!$B$4:$I$79,8,FALSE())</f>
        <v>0.03</v>
      </c>
      <c r="H171" s="13">
        <f t="shared" si="1"/>
        <v>0.06</v>
      </c>
    </row>
    <row r="172" ht="15.0" customHeight="1">
      <c r="A172" s="9" t="s">
        <v>320</v>
      </c>
      <c r="B172" s="9" t="s">
        <v>321</v>
      </c>
      <c r="C172" s="9" t="s">
        <v>187</v>
      </c>
      <c r="D172" s="9" t="s">
        <v>314</v>
      </c>
      <c r="E172" s="12">
        <v>1.0</v>
      </c>
      <c r="F172" s="9" t="s">
        <v>94</v>
      </c>
      <c r="G172" s="23">
        <f>VLOOKUP(C172,Ingredient_Master!$B$4:$I$79,8,FALSE())</f>
        <v>80</v>
      </c>
      <c r="H172" s="13">
        <f t="shared" si="1"/>
        <v>80</v>
      </c>
    </row>
    <row r="173" ht="15.0" customHeight="1">
      <c r="A173" s="9" t="s">
        <v>325</v>
      </c>
      <c r="B173" s="9" t="s">
        <v>326</v>
      </c>
      <c r="C173" s="9" t="s">
        <v>115</v>
      </c>
      <c r="D173" s="9" t="s">
        <v>311</v>
      </c>
      <c r="E173" s="12">
        <v>250.0</v>
      </c>
      <c r="F173" s="9" t="s">
        <v>65</v>
      </c>
      <c r="G173" s="23">
        <f>VLOOKUP(C173,Ingredient_Master!$B$4:$I$79,8,FALSE())</f>
        <v>0.13</v>
      </c>
      <c r="H173" s="13">
        <f t="shared" si="1"/>
        <v>32.5</v>
      </c>
    </row>
    <row r="174" ht="15.0" customHeight="1">
      <c r="A174" s="9" t="s">
        <v>325</v>
      </c>
      <c r="B174" s="9" t="s">
        <v>326</v>
      </c>
      <c r="C174" s="9" t="s">
        <v>102</v>
      </c>
      <c r="D174" s="9" t="s">
        <v>311</v>
      </c>
      <c r="E174" s="12">
        <v>10.0</v>
      </c>
      <c r="F174" s="9" t="s">
        <v>104</v>
      </c>
      <c r="G174" s="23">
        <f>VLOOKUP(C174,Ingredient_Master!$B$4:$I$79,8,FALSE())</f>
        <v>0.32</v>
      </c>
      <c r="H174" s="13">
        <f t="shared" si="1"/>
        <v>3.2</v>
      </c>
    </row>
    <row r="175" ht="15.0" customHeight="1">
      <c r="A175" s="9" t="s">
        <v>325</v>
      </c>
      <c r="B175" s="9" t="s">
        <v>326</v>
      </c>
      <c r="C175" s="9" t="s">
        <v>137</v>
      </c>
      <c r="D175" s="9" t="s">
        <v>302</v>
      </c>
      <c r="E175" s="12">
        <v>110.0</v>
      </c>
      <c r="F175" s="9" t="s">
        <v>65</v>
      </c>
      <c r="G175" s="23">
        <f>VLOOKUP(C175,Ingredient_Master!$B$4:$I$79,8,FALSE())</f>
        <v>0.4</v>
      </c>
      <c r="H175" s="13">
        <f t="shared" si="1"/>
        <v>44</v>
      </c>
    </row>
    <row r="176" ht="15.0" customHeight="1">
      <c r="A176" s="9" t="s">
        <v>325</v>
      </c>
      <c r="B176" s="9" t="s">
        <v>326</v>
      </c>
      <c r="C176" s="9" t="s">
        <v>96</v>
      </c>
      <c r="D176" s="9" t="s">
        <v>322</v>
      </c>
      <c r="E176" s="12">
        <v>190.0</v>
      </c>
      <c r="F176" s="9" t="s">
        <v>65</v>
      </c>
      <c r="G176" s="23">
        <f>VLOOKUP(C176,Ingredient_Master!$B$4:$I$79,8,FALSE())</f>
        <v>1.1</v>
      </c>
      <c r="H176" s="13">
        <f t="shared" si="1"/>
        <v>209</v>
      </c>
    </row>
    <row r="177" ht="15.0" customHeight="1">
      <c r="A177" s="9" t="s">
        <v>325</v>
      </c>
      <c r="B177" s="9" t="s">
        <v>326</v>
      </c>
      <c r="C177" s="9" t="s">
        <v>85</v>
      </c>
      <c r="D177" s="9" t="s">
        <v>327</v>
      </c>
      <c r="E177" s="12">
        <v>50.0</v>
      </c>
      <c r="F177" s="9" t="s">
        <v>65</v>
      </c>
      <c r="G177" s="23">
        <f>VLOOKUP(C177,Ingredient_Master!$B$4:$I$79,8,FALSE())</f>
        <v>1.224489796</v>
      </c>
      <c r="H177" s="13">
        <f t="shared" si="1"/>
        <v>61.2244898</v>
      </c>
    </row>
    <row r="178" ht="15.0" customHeight="1">
      <c r="A178" s="9" t="s">
        <v>325</v>
      </c>
      <c r="B178" s="9" t="s">
        <v>326</v>
      </c>
      <c r="C178" s="9" t="s">
        <v>89</v>
      </c>
      <c r="D178" s="9" t="s">
        <v>327</v>
      </c>
      <c r="E178" s="12">
        <v>50.0</v>
      </c>
      <c r="F178" s="9" t="s">
        <v>65</v>
      </c>
      <c r="G178" s="23">
        <f>VLOOKUP(C178,Ingredient_Master!$B$4:$I$79,8,FALSE())</f>
        <v>0.7368421053</v>
      </c>
      <c r="H178" s="13">
        <f t="shared" si="1"/>
        <v>36.84210526</v>
      </c>
    </row>
    <row r="179" ht="15.0" customHeight="1">
      <c r="A179" s="9" t="s">
        <v>325</v>
      </c>
      <c r="B179" s="9" t="s">
        <v>326</v>
      </c>
      <c r="C179" s="9" t="s">
        <v>87</v>
      </c>
      <c r="D179" s="9" t="s">
        <v>328</v>
      </c>
      <c r="E179" s="12">
        <v>40.0</v>
      </c>
      <c r="F179" s="9" t="s">
        <v>65</v>
      </c>
      <c r="G179" s="23">
        <f>VLOOKUP(C179,Ingredient_Master!$B$4:$I$79,8,FALSE())</f>
        <v>1.052631579</v>
      </c>
      <c r="H179" s="13">
        <f t="shared" si="1"/>
        <v>42.10526316</v>
      </c>
    </row>
    <row r="180" ht="15.0" customHeight="1">
      <c r="A180" s="9" t="s">
        <v>325</v>
      </c>
      <c r="B180" s="9" t="s">
        <v>326</v>
      </c>
      <c r="C180" s="9" t="s">
        <v>71</v>
      </c>
      <c r="D180" s="9" t="s">
        <v>329</v>
      </c>
      <c r="E180" s="12">
        <v>40.0</v>
      </c>
      <c r="F180" s="9" t="s">
        <v>65</v>
      </c>
      <c r="G180" s="23">
        <f>VLOOKUP(C180,Ingredient_Master!$B$4:$I$79,8,FALSE())</f>
        <v>0.6315789474</v>
      </c>
      <c r="H180" s="13">
        <f t="shared" si="1"/>
        <v>25.26315789</v>
      </c>
    </row>
    <row r="181" ht="15.0" customHeight="1">
      <c r="A181" s="9" t="s">
        <v>325</v>
      </c>
      <c r="B181" s="9" t="s">
        <v>326</v>
      </c>
      <c r="C181" s="9" t="s">
        <v>83</v>
      </c>
      <c r="D181" s="9" t="s">
        <v>330</v>
      </c>
      <c r="E181" s="12">
        <v>20.0</v>
      </c>
      <c r="F181" s="9" t="s">
        <v>65</v>
      </c>
      <c r="G181" s="23">
        <f>VLOOKUP(C181,Ingredient_Master!$B$4:$I$79,8,FALSE())</f>
        <v>0.9183673469</v>
      </c>
      <c r="H181" s="13">
        <f t="shared" si="1"/>
        <v>18.36734694</v>
      </c>
    </row>
    <row r="182" ht="15.0" customHeight="1">
      <c r="A182" s="9" t="s">
        <v>325</v>
      </c>
      <c r="B182" s="9" t="s">
        <v>326</v>
      </c>
      <c r="C182" s="9" t="s">
        <v>179</v>
      </c>
      <c r="D182" s="9" t="s">
        <v>261</v>
      </c>
      <c r="E182" s="12">
        <v>1.0</v>
      </c>
      <c r="F182" s="9" t="s">
        <v>65</v>
      </c>
      <c r="G182" s="23">
        <f>VLOOKUP(C182,Ingredient_Master!$B$4:$I$79,8,FALSE())</f>
        <v>2</v>
      </c>
      <c r="H182" s="13">
        <f t="shared" si="1"/>
        <v>2</v>
      </c>
    </row>
    <row r="183" ht="15.0" customHeight="1">
      <c r="A183" s="9" t="s">
        <v>325</v>
      </c>
      <c r="B183" s="9" t="s">
        <v>326</v>
      </c>
      <c r="C183" s="9" t="s">
        <v>187</v>
      </c>
      <c r="D183" s="9" t="s">
        <v>314</v>
      </c>
      <c r="E183" s="12">
        <v>1.0</v>
      </c>
      <c r="F183" s="9" t="s">
        <v>94</v>
      </c>
      <c r="G183" s="23">
        <f>VLOOKUP(C183,Ingredient_Master!$B$4:$I$79,8,FALSE())</f>
        <v>80</v>
      </c>
      <c r="H183" s="13">
        <f t="shared" si="1"/>
        <v>80</v>
      </c>
    </row>
    <row r="184" ht="15.0" customHeight="1">
      <c r="A184" s="9" t="s">
        <v>331</v>
      </c>
      <c r="B184" s="9" t="s">
        <v>332</v>
      </c>
      <c r="C184" s="9" t="s">
        <v>115</v>
      </c>
      <c r="D184" s="9" t="s">
        <v>311</v>
      </c>
      <c r="E184" s="12">
        <v>250.0</v>
      </c>
      <c r="F184" s="9" t="s">
        <v>65</v>
      </c>
      <c r="G184" s="23">
        <f>VLOOKUP(C184,Ingredient_Master!$B$4:$I$79,8,FALSE())</f>
        <v>0.13</v>
      </c>
      <c r="H184" s="13">
        <f t="shared" si="1"/>
        <v>32.5</v>
      </c>
    </row>
    <row r="185" ht="15.0" customHeight="1">
      <c r="A185" s="9" t="s">
        <v>331</v>
      </c>
      <c r="B185" s="9" t="s">
        <v>332</v>
      </c>
      <c r="C185" s="9" t="s">
        <v>102</v>
      </c>
      <c r="D185" s="9" t="s">
        <v>311</v>
      </c>
      <c r="E185" s="12">
        <v>10.0</v>
      </c>
      <c r="F185" s="9" t="s">
        <v>104</v>
      </c>
      <c r="G185" s="23">
        <f>VLOOKUP(C185,Ingredient_Master!$B$4:$I$79,8,FALSE())</f>
        <v>0.32</v>
      </c>
      <c r="H185" s="13">
        <f t="shared" si="1"/>
        <v>3.2</v>
      </c>
    </row>
    <row r="186" ht="15.0" customHeight="1">
      <c r="A186" s="9" t="s">
        <v>331</v>
      </c>
      <c r="B186" s="9" t="s">
        <v>332</v>
      </c>
      <c r="C186" s="9" t="s">
        <v>137</v>
      </c>
      <c r="D186" s="9" t="s">
        <v>302</v>
      </c>
      <c r="E186" s="12">
        <v>110.0</v>
      </c>
      <c r="F186" s="9" t="s">
        <v>65</v>
      </c>
      <c r="G186" s="23">
        <f>VLOOKUP(C186,Ingredient_Master!$B$4:$I$79,8,FALSE())</f>
        <v>0.4</v>
      </c>
      <c r="H186" s="13">
        <f t="shared" si="1"/>
        <v>44</v>
      </c>
    </row>
    <row r="187" ht="15.0" customHeight="1">
      <c r="A187" s="9" t="s">
        <v>331</v>
      </c>
      <c r="B187" s="9" t="s">
        <v>332</v>
      </c>
      <c r="C187" s="9" t="s">
        <v>96</v>
      </c>
      <c r="D187" s="9" t="s">
        <v>322</v>
      </c>
      <c r="E187" s="12">
        <v>190.0</v>
      </c>
      <c r="F187" s="9" t="s">
        <v>65</v>
      </c>
      <c r="G187" s="23">
        <f>VLOOKUP(C187,Ingredient_Master!$B$4:$I$79,8,FALSE())</f>
        <v>1.1</v>
      </c>
      <c r="H187" s="13">
        <f t="shared" si="1"/>
        <v>209</v>
      </c>
    </row>
    <row r="188" ht="15.0" customHeight="1">
      <c r="A188" s="9" t="s">
        <v>331</v>
      </c>
      <c r="B188" s="9" t="s">
        <v>332</v>
      </c>
      <c r="C188" s="9" t="s">
        <v>85</v>
      </c>
      <c r="D188" s="9" t="s">
        <v>333</v>
      </c>
      <c r="E188" s="12">
        <v>90.0</v>
      </c>
      <c r="F188" s="9" t="s">
        <v>65</v>
      </c>
      <c r="G188" s="23">
        <f>VLOOKUP(C188,Ingredient_Master!$B$4:$I$79,8,FALSE())</f>
        <v>1.224489796</v>
      </c>
      <c r="H188" s="13">
        <f t="shared" si="1"/>
        <v>110.2040816</v>
      </c>
    </row>
    <row r="189" ht="15.0" customHeight="1">
      <c r="A189" s="9" t="s">
        <v>331</v>
      </c>
      <c r="B189" s="9" t="s">
        <v>332</v>
      </c>
      <c r="C189" s="9" t="s">
        <v>179</v>
      </c>
      <c r="D189" s="9" t="s">
        <v>261</v>
      </c>
      <c r="E189" s="12">
        <v>1.0</v>
      </c>
      <c r="F189" s="9" t="s">
        <v>65</v>
      </c>
      <c r="G189" s="23">
        <f>VLOOKUP(C189,Ingredient_Master!$B$4:$I$79,8,FALSE())</f>
        <v>2</v>
      </c>
      <c r="H189" s="13">
        <f t="shared" si="1"/>
        <v>2</v>
      </c>
    </row>
    <row r="190" ht="15.0" customHeight="1">
      <c r="A190" s="9" t="s">
        <v>331</v>
      </c>
      <c r="B190" s="9" t="s">
        <v>332</v>
      </c>
      <c r="C190" s="9" t="s">
        <v>187</v>
      </c>
      <c r="D190" s="9" t="s">
        <v>314</v>
      </c>
      <c r="E190" s="12">
        <v>1.0</v>
      </c>
      <c r="F190" s="9" t="s">
        <v>94</v>
      </c>
      <c r="G190" s="23">
        <f>VLOOKUP(C190,Ingredient_Master!$B$4:$I$79,8,FALSE())</f>
        <v>80</v>
      </c>
      <c r="H190" s="13">
        <f t="shared" si="1"/>
        <v>80</v>
      </c>
    </row>
    <row r="191" ht="15.0" customHeight="1">
      <c r="A191" s="9" t="s">
        <v>334</v>
      </c>
      <c r="B191" s="9" t="s">
        <v>335</v>
      </c>
      <c r="C191" s="9" t="s">
        <v>115</v>
      </c>
      <c r="D191" s="9" t="s">
        <v>311</v>
      </c>
      <c r="E191" s="12">
        <v>250.0</v>
      </c>
      <c r="F191" s="9" t="s">
        <v>65</v>
      </c>
      <c r="G191" s="23">
        <f>VLOOKUP(C191,Ingredient_Master!$B$4:$I$79,8,FALSE())</f>
        <v>0.13</v>
      </c>
      <c r="H191" s="13">
        <f t="shared" si="1"/>
        <v>32.5</v>
      </c>
    </row>
    <row r="192" ht="15.0" customHeight="1">
      <c r="A192" s="9" t="s">
        <v>334</v>
      </c>
      <c r="B192" s="9" t="s">
        <v>335</v>
      </c>
      <c r="C192" s="9" t="s">
        <v>102</v>
      </c>
      <c r="D192" s="9" t="s">
        <v>311</v>
      </c>
      <c r="E192" s="12">
        <v>10.0</v>
      </c>
      <c r="F192" s="9" t="s">
        <v>104</v>
      </c>
      <c r="G192" s="23">
        <f>VLOOKUP(C192,Ingredient_Master!$B$4:$I$79,8,FALSE())</f>
        <v>0.32</v>
      </c>
      <c r="H192" s="13">
        <f t="shared" si="1"/>
        <v>3.2</v>
      </c>
    </row>
    <row r="193" ht="15.0" customHeight="1">
      <c r="A193" s="9" t="s">
        <v>334</v>
      </c>
      <c r="B193" s="9" t="s">
        <v>335</v>
      </c>
      <c r="C193" s="9" t="s">
        <v>137</v>
      </c>
      <c r="D193" s="9" t="s">
        <v>302</v>
      </c>
      <c r="E193" s="12">
        <v>110.0</v>
      </c>
      <c r="F193" s="9" t="s">
        <v>65</v>
      </c>
      <c r="G193" s="23">
        <f>VLOOKUP(C193,Ingredient_Master!$B$4:$I$79,8,FALSE())</f>
        <v>0.4</v>
      </c>
      <c r="H193" s="13">
        <f t="shared" si="1"/>
        <v>44</v>
      </c>
    </row>
    <row r="194" ht="15.0" customHeight="1">
      <c r="A194" s="9" t="s">
        <v>334</v>
      </c>
      <c r="B194" s="9" t="s">
        <v>335</v>
      </c>
      <c r="C194" s="9" t="s">
        <v>96</v>
      </c>
      <c r="D194" s="9" t="s">
        <v>322</v>
      </c>
      <c r="E194" s="12">
        <v>190.0</v>
      </c>
      <c r="F194" s="9" t="s">
        <v>65</v>
      </c>
      <c r="G194" s="23">
        <f>VLOOKUP(C194,Ingredient_Master!$B$4:$I$79,8,FALSE())</f>
        <v>1.1</v>
      </c>
      <c r="H194" s="13">
        <f t="shared" si="1"/>
        <v>209</v>
      </c>
    </row>
    <row r="195" ht="15.0" customHeight="1">
      <c r="A195" s="9" t="s">
        <v>334</v>
      </c>
      <c r="B195" s="9" t="s">
        <v>335</v>
      </c>
      <c r="C195" s="9" t="s">
        <v>81</v>
      </c>
      <c r="D195" s="9" t="s">
        <v>336</v>
      </c>
      <c r="E195" s="12">
        <v>80.0</v>
      </c>
      <c r="F195" s="9" t="s">
        <v>65</v>
      </c>
      <c r="G195" s="23">
        <f>VLOOKUP(C195,Ingredient_Master!$B$4:$I$79,8,FALSE())</f>
        <v>0.8333333333</v>
      </c>
      <c r="H195" s="13">
        <f t="shared" si="1"/>
        <v>66.66666667</v>
      </c>
    </row>
    <row r="196" ht="15.0" customHeight="1">
      <c r="A196" s="9" t="s">
        <v>334</v>
      </c>
      <c r="B196" s="9" t="s">
        <v>335</v>
      </c>
      <c r="C196" s="9" t="s">
        <v>143</v>
      </c>
      <c r="D196" s="9" t="s">
        <v>337</v>
      </c>
      <c r="E196" s="12">
        <v>40.0</v>
      </c>
      <c r="F196" s="9" t="s">
        <v>65</v>
      </c>
      <c r="G196" s="23">
        <f>VLOOKUP(C196,Ingredient_Master!$B$4:$I$79,8,FALSE())</f>
        <v>0.2352941176</v>
      </c>
      <c r="H196" s="13">
        <f t="shared" si="1"/>
        <v>9.411764706</v>
      </c>
    </row>
    <row r="197" ht="15.0" customHeight="1">
      <c r="A197" s="9" t="s">
        <v>334</v>
      </c>
      <c r="B197" s="9" t="s">
        <v>335</v>
      </c>
      <c r="C197" s="9" t="s">
        <v>134</v>
      </c>
      <c r="D197" s="9" t="s">
        <v>319</v>
      </c>
      <c r="E197" s="12">
        <v>40.0</v>
      </c>
      <c r="F197" s="9" t="s">
        <v>65</v>
      </c>
      <c r="G197" s="23">
        <f>VLOOKUP(C197,Ingredient_Master!$B$4:$I$79,8,FALSE())</f>
        <v>0.1333333333</v>
      </c>
      <c r="H197" s="13">
        <f t="shared" si="1"/>
        <v>5.333333333</v>
      </c>
    </row>
    <row r="198" ht="15.0" customHeight="1">
      <c r="A198" s="9" t="s">
        <v>334</v>
      </c>
      <c r="B198" s="9" t="s">
        <v>335</v>
      </c>
      <c r="C198" s="9" t="s">
        <v>179</v>
      </c>
      <c r="D198" s="9" t="s">
        <v>261</v>
      </c>
      <c r="E198" s="12">
        <v>1.0</v>
      </c>
      <c r="F198" s="9" t="s">
        <v>65</v>
      </c>
      <c r="G198" s="23">
        <f>VLOOKUP(C198,Ingredient_Master!$B$4:$I$79,8,FALSE())</f>
        <v>2</v>
      </c>
      <c r="H198" s="13">
        <f t="shared" si="1"/>
        <v>2</v>
      </c>
    </row>
    <row r="199" ht="15.0" customHeight="1">
      <c r="A199" s="9" t="s">
        <v>334</v>
      </c>
      <c r="B199" s="9" t="s">
        <v>335</v>
      </c>
      <c r="C199" s="9" t="s">
        <v>187</v>
      </c>
      <c r="D199" s="9" t="s">
        <v>314</v>
      </c>
      <c r="E199" s="12">
        <v>1.0</v>
      </c>
      <c r="F199" s="9" t="s">
        <v>94</v>
      </c>
      <c r="G199" s="23">
        <f>VLOOKUP(C199,Ingredient_Master!$B$4:$I$79,8,FALSE())</f>
        <v>80</v>
      </c>
      <c r="H199" s="13">
        <f t="shared" si="1"/>
        <v>80</v>
      </c>
    </row>
    <row r="200" ht="15.0" customHeight="1">
      <c r="A200" s="9" t="s">
        <v>338</v>
      </c>
      <c r="B200" s="9" t="s">
        <v>339</v>
      </c>
      <c r="C200" s="9" t="s">
        <v>115</v>
      </c>
      <c r="D200" s="9" t="s">
        <v>311</v>
      </c>
      <c r="E200" s="12">
        <v>500.0</v>
      </c>
      <c r="F200" s="9" t="s">
        <v>65</v>
      </c>
      <c r="G200" s="23">
        <f>VLOOKUP(C200,Ingredient_Master!$B$4:$I$79,8,FALSE())</f>
        <v>0.13</v>
      </c>
      <c r="H200" s="13">
        <f t="shared" si="1"/>
        <v>65</v>
      </c>
    </row>
    <row r="201" ht="15.0" customHeight="1">
      <c r="A201" s="9" t="s">
        <v>338</v>
      </c>
      <c r="B201" s="9" t="s">
        <v>339</v>
      </c>
      <c r="C201" s="9" t="s">
        <v>170</v>
      </c>
      <c r="D201" s="9" t="s">
        <v>311</v>
      </c>
      <c r="E201" s="12">
        <v>6.0</v>
      </c>
      <c r="F201" s="9" t="s">
        <v>65</v>
      </c>
      <c r="G201" s="23">
        <f>VLOOKUP(C201,Ingredient_Master!$B$4:$I$79,8,FALSE())</f>
        <v>0.03</v>
      </c>
      <c r="H201" s="13">
        <f t="shared" si="1"/>
        <v>0.18</v>
      </c>
    </row>
    <row r="202" ht="15.0" customHeight="1">
      <c r="A202" s="9" t="s">
        <v>338</v>
      </c>
      <c r="B202" s="9" t="s">
        <v>339</v>
      </c>
      <c r="C202" s="9" t="s">
        <v>102</v>
      </c>
      <c r="D202" s="9" t="s">
        <v>340</v>
      </c>
      <c r="E202" s="12">
        <v>40.0</v>
      </c>
      <c r="F202" s="9" t="s">
        <v>104</v>
      </c>
      <c r="G202" s="23">
        <f>VLOOKUP(C202,Ingredient_Master!$B$4:$I$79,8,FALSE())</f>
        <v>0.32</v>
      </c>
      <c r="H202" s="13">
        <f t="shared" si="1"/>
        <v>12.8</v>
      </c>
    </row>
    <row r="203" ht="15.0" customHeight="1">
      <c r="A203" s="9" t="s">
        <v>338</v>
      </c>
      <c r="B203" s="9" t="s">
        <v>339</v>
      </c>
      <c r="C203" s="9" t="s">
        <v>71</v>
      </c>
      <c r="D203" s="9" t="s">
        <v>341</v>
      </c>
      <c r="E203" s="12">
        <v>500.0</v>
      </c>
      <c r="F203" s="9" t="s">
        <v>65</v>
      </c>
      <c r="G203" s="23">
        <f>VLOOKUP(C203,Ingredient_Master!$B$4:$I$79,8,FALSE())</f>
        <v>0.6315789474</v>
      </c>
      <c r="H203" s="13">
        <f t="shared" si="1"/>
        <v>315.7894737</v>
      </c>
    </row>
    <row r="204" ht="15.0" customHeight="1">
      <c r="A204" s="9" t="s">
        <v>338</v>
      </c>
      <c r="B204" s="9" t="s">
        <v>339</v>
      </c>
      <c r="C204" s="9" t="s">
        <v>134</v>
      </c>
      <c r="D204" s="9" t="s">
        <v>247</v>
      </c>
      <c r="E204" s="12">
        <v>150.0</v>
      </c>
      <c r="F204" s="9" t="s">
        <v>65</v>
      </c>
      <c r="G204" s="23">
        <f>VLOOKUP(C204,Ingredient_Master!$B$4:$I$79,8,FALSE())</f>
        <v>0.1333333333</v>
      </c>
      <c r="H204" s="13">
        <f t="shared" si="1"/>
        <v>20</v>
      </c>
    </row>
    <row r="205" ht="15.0" customHeight="1">
      <c r="A205" s="9" t="s">
        <v>338</v>
      </c>
      <c r="B205" s="9" t="s">
        <v>339</v>
      </c>
      <c r="C205" s="9" t="s">
        <v>139</v>
      </c>
      <c r="D205" s="9" t="s">
        <v>233</v>
      </c>
      <c r="E205" s="12">
        <v>6.0</v>
      </c>
      <c r="F205" s="9" t="s">
        <v>65</v>
      </c>
      <c r="G205" s="23">
        <f>VLOOKUP(C205,Ingredient_Master!$B$4:$I$79,8,FALSE())</f>
        <v>0.5555555556</v>
      </c>
      <c r="H205" s="13">
        <f t="shared" si="1"/>
        <v>3.333333333</v>
      </c>
    </row>
    <row r="206" ht="15.0" customHeight="1">
      <c r="A206" s="9" t="s">
        <v>338</v>
      </c>
      <c r="B206" s="9" t="s">
        <v>339</v>
      </c>
      <c r="C206" s="9" t="s">
        <v>141</v>
      </c>
      <c r="D206" s="9" t="s">
        <v>220</v>
      </c>
      <c r="E206" s="12">
        <v>3.0</v>
      </c>
      <c r="F206" s="9" t="s">
        <v>65</v>
      </c>
      <c r="G206" s="23">
        <f>VLOOKUP(C206,Ingredient_Master!$B$4:$I$79,8,FALSE())</f>
        <v>0.4705882353</v>
      </c>
      <c r="H206" s="13">
        <f t="shared" si="1"/>
        <v>1.411764706</v>
      </c>
    </row>
    <row r="207" ht="15.0" customHeight="1">
      <c r="A207" s="9" t="s">
        <v>338</v>
      </c>
      <c r="B207" s="9" t="s">
        <v>339</v>
      </c>
      <c r="C207" s="9" t="s">
        <v>176</v>
      </c>
      <c r="D207" s="9" t="s">
        <v>220</v>
      </c>
      <c r="E207" s="12">
        <v>2.5</v>
      </c>
      <c r="F207" s="9" t="s">
        <v>65</v>
      </c>
      <c r="G207" s="23">
        <f>VLOOKUP(C207,Ingredient_Master!$B$4:$I$79,8,FALSE())</f>
        <v>0.6</v>
      </c>
      <c r="H207" s="13">
        <f t="shared" si="1"/>
        <v>1.5</v>
      </c>
    </row>
    <row r="208" ht="15.0" customHeight="1">
      <c r="A208" s="9" t="s">
        <v>338</v>
      </c>
      <c r="B208" s="9" t="s">
        <v>339</v>
      </c>
      <c r="C208" s="9" t="s">
        <v>172</v>
      </c>
      <c r="D208" s="9" t="s">
        <v>221</v>
      </c>
      <c r="E208" s="12">
        <v>1.25</v>
      </c>
      <c r="F208" s="9" t="s">
        <v>65</v>
      </c>
      <c r="G208" s="23">
        <f>VLOOKUP(C208,Ingredient_Master!$B$4:$I$79,8,FALSE())</f>
        <v>1.5</v>
      </c>
      <c r="H208" s="13">
        <f t="shared" si="1"/>
        <v>1.875</v>
      </c>
    </row>
    <row r="209" ht="15.0" customHeight="1">
      <c r="A209" s="9" t="s">
        <v>338</v>
      </c>
      <c r="B209" s="9" t="s">
        <v>339</v>
      </c>
      <c r="C209" s="9" t="s">
        <v>174</v>
      </c>
      <c r="D209" s="9" t="s">
        <v>220</v>
      </c>
      <c r="E209" s="12">
        <v>2.5</v>
      </c>
      <c r="F209" s="9" t="s">
        <v>65</v>
      </c>
      <c r="G209" s="23">
        <f>VLOOKUP(C209,Ingredient_Master!$B$4:$I$79,8,FALSE())</f>
        <v>1.2</v>
      </c>
      <c r="H209" s="13">
        <f t="shared" si="1"/>
        <v>3</v>
      </c>
    </row>
    <row r="210" ht="15.0" customHeight="1">
      <c r="A210" s="9" t="s">
        <v>338</v>
      </c>
      <c r="B210" s="9" t="s">
        <v>339</v>
      </c>
      <c r="C210" s="9" t="s">
        <v>147</v>
      </c>
      <c r="D210" s="9" t="s">
        <v>342</v>
      </c>
      <c r="E210" s="12">
        <v>10.0</v>
      </c>
      <c r="F210" s="9" t="s">
        <v>65</v>
      </c>
      <c r="G210" s="23">
        <f>VLOOKUP(C210,Ingredient_Master!$B$4:$I$79,8,FALSE())</f>
        <v>0.1111111111</v>
      </c>
      <c r="H210" s="13">
        <f t="shared" si="1"/>
        <v>1.111111111</v>
      </c>
    </row>
    <row r="211" ht="15.0" customHeight="1">
      <c r="A211" s="9" t="s">
        <v>338</v>
      </c>
      <c r="B211" s="9" t="s">
        <v>339</v>
      </c>
      <c r="C211" s="9" t="s">
        <v>102</v>
      </c>
      <c r="D211" s="9" t="s">
        <v>343</v>
      </c>
      <c r="E211" s="12">
        <v>200.0</v>
      </c>
      <c r="F211" s="9" t="s">
        <v>104</v>
      </c>
      <c r="G211" s="23">
        <f>VLOOKUP(C211,Ingredient_Master!$B$4:$I$79,8,FALSE())</f>
        <v>0.32</v>
      </c>
      <c r="H211" s="13">
        <f t="shared" si="1"/>
        <v>64</v>
      </c>
    </row>
    <row r="212" ht="15.0" customHeight="1">
      <c r="A212" s="9" t="s">
        <v>344</v>
      </c>
      <c r="B212" s="9" t="s">
        <v>345</v>
      </c>
      <c r="C212" s="9" t="s">
        <v>71</v>
      </c>
      <c r="D212" s="9" t="s">
        <v>346</v>
      </c>
      <c r="E212" s="12">
        <v>1000.0</v>
      </c>
      <c r="F212" s="9" t="s">
        <v>65</v>
      </c>
      <c r="G212" s="23">
        <f>VLOOKUP(C212,Ingredient_Master!$B$4:$I$79,8,FALSE())</f>
        <v>0.6315789474</v>
      </c>
      <c r="H212" s="13">
        <f t="shared" si="1"/>
        <v>631.5789474</v>
      </c>
    </row>
    <row r="213" ht="15.0" customHeight="1">
      <c r="A213" s="9" t="s">
        <v>344</v>
      </c>
      <c r="B213" s="9" t="s">
        <v>345</v>
      </c>
      <c r="C213" s="9" t="s">
        <v>134</v>
      </c>
      <c r="D213" s="9" t="s">
        <v>347</v>
      </c>
      <c r="E213" s="12">
        <v>150.0</v>
      </c>
      <c r="F213" s="9" t="s">
        <v>65</v>
      </c>
      <c r="G213" s="23">
        <f>VLOOKUP(C213,Ingredient_Master!$B$4:$I$79,8,FALSE())</f>
        <v>0.1333333333</v>
      </c>
      <c r="H213" s="13">
        <f t="shared" si="1"/>
        <v>20</v>
      </c>
    </row>
    <row r="214" ht="15.0" customHeight="1">
      <c r="A214" s="9" t="s">
        <v>344</v>
      </c>
      <c r="B214" s="9" t="s">
        <v>345</v>
      </c>
      <c r="C214" s="9" t="s">
        <v>139</v>
      </c>
      <c r="D214" s="9" t="s">
        <v>233</v>
      </c>
      <c r="E214" s="12">
        <v>6.0</v>
      </c>
      <c r="F214" s="9" t="s">
        <v>65</v>
      </c>
      <c r="G214" s="23">
        <f>VLOOKUP(C214,Ingredient_Master!$B$4:$I$79,8,FALSE())</f>
        <v>0.5555555556</v>
      </c>
      <c r="H214" s="13">
        <f t="shared" si="1"/>
        <v>3.333333333</v>
      </c>
    </row>
    <row r="215" ht="15.0" customHeight="1">
      <c r="A215" s="9" t="s">
        <v>344</v>
      </c>
      <c r="B215" s="9" t="s">
        <v>345</v>
      </c>
      <c r="C215" s="9" t="s">
        <v>141</v>
      </c>
      <c r="D215" s="9" t="s">
        <v>220</v>
      </c>
      <c r="E215" s="12">
        <v>3.0</v>
      </c>
      <c r="F215" s="9" t="s">
        <v>65</v>
      </c>
      <c r="G215" s="23">
        <f>VLOOKUP(C215,Ingredient_Master!$B$4:$I$79,8,FALSE())</f>
        <v>0.4705882353</v>
      </c>
      <c r="H215" s="13">
        <f t="shared" si="1"/>
        <v>1.411764706</v>
      </c>
    </row>
    <row r="216" ht="15.0" customHeight="1">
      <c r="A216" s="9" t="s">
        <v>344</v>
      </c>
      <c r="B216" s="9" t="s">
        <v>345</v>
      </c>
      <c r="C216" s="9" t="s">
        <v>117</v>
      </c>
      <c r="D216" s="9" t="s">
        <v>240</v>
      </c>
      <c r="E216" s="12">
        <v>20.0</v>
      </c>
      <c r="F216" s="9" t="s">
        <v>65</v>
      </c>
      <c r="G216" s="23">
        <f>VLOOKUP(C216,Ingredient_Master!$B$4:$I$79,8,FALSE())</f>
        <v>0.3</v>
      </c>
      <c r="H216" s="13">
        <f t="shared" si="1"/>
        <v>6</v>
      </c>
    </row>
    <row r="217" ht="15.0" customHeight="1">
      <c r="A217" s="9" t="s">
        <v>344</v>
      </c>
      <c r="B217" s="9" t="s">
        <v>345</v>
      </c>
      <c r="C217" s="9" t="s">
        <v>92</v>
      </c>
      <c r="D217" s="9" t="s">
        <v>348</v>
      </c>
      <c r="E217" s="12">
        <v>1.0</v>
      </c>
      <c r="F217" s="9" t="s">
        <v>94</v>
      </c>
      <c r="G217" s="23">
        <f>VLOOKUP(C217,Ingredient_Master!$B$4:$I$79,8,FALSE())</f>
        <v>18</v>
      </c>
      <c r="H217" s="13">
        <f t="shared" si="1"/>
        <v>18</v>
      </c>
    </row>
    <row r="218" ht="15.0" customHeight="1">
      <c r="A218" s="9" t="s">
        <v>344</v>
      </c>
      <c r="B218" s="9" t="s">
        <v>345</v>
      </c>
      <c r="C218" s="9" t="s">
        <v>174</v>
      </c>
      <c r="D218" s="9" t="s">
        <v>220</v>
      </c>
      <c r="E218" s="12">
        <v>2.5</v>
      </c>
      <c r="F218" s="9" t="s">
        <v>65</v>
      </c>
      <c r="G218" s="23">
        <f>VLOOKUP(C218,Ingredient_Master!$B$4:$I$79,8,FALSE())</f>
        <v>1.2</v>
      </c>
      <c r="H218" s="13">
        <f t="shared" si="1"/>
        <v>3</v>
      </c>
    </row>
    <row r="219" ht="15.0" customHeight="1">
      <c r="A219" s="9" t="s">
        <v>344</v>
      </c>
      <c r="B219" s="9" t="s">
        <v>345</v>
      </c>
      <c r="C219" s="9" t="s">
        <v>178</v>
      </c>
      <c r="D219" s="9" t="s">
        <v>220</v>
      </c>
      <c r="E219" s="12">
        <v>2.5</v>
      </c>
      <c r="F219" s="9" t="s">
        <v>65</v>
      </c>
      <c r="G219" s="23">
        <f>VLOOKUP(C219,Ingredient_Master!$B$4:$I$79,8,FALSE())</f>
        <v>1</v>
      </c>
      <c r="H219" s="13">
        <f t="shared" si="1"/>
        <v>2.5</v>
      </c>
    </row>
    <row r="220" ht="15.0" customHeight="1">
      <c r="A220" s="9" t="s">
        <v>344</v>
      </c>
      <c r="B220" s="9" t="s">
        <v>345</v>
      </c>
      <c r="C220" s="9" t="s">
        <v>172</v>
      </c>
      <c r="D220" s="9" t="s">
        <v>220</v>
      </c>
      <c r="E220" s="12">
        <v>2.5</v>
      </c>
      <c r="F220" s="9" t="s">
        <v>65</v>
      </c>
      <c r="G220" s="23">
        <f>VLOOKUP(C220,Ingredient_Master!$B$4:$I$79,8,FALSE())</f>
        <v>1.5</v>
      </c>
      <c r="H220" s="13">
        <f t="shared" si="1"/>
        <v>3.75</v>
      </c>
    </row>
    <row r="221" ht="15.0" customHeight="1">
      <c r="A221" s="9" t="s">
        <v>344</v>
      </c>
      <c r="B221" s="9" t="s">
        <v>345</v>
      </c>
      <c r="C221" s="9" t="s">
        <v>179</v>
      </c>
      <c r="D221" s="9" t="s">
        <v>220</v>
      </c>
      <c r="E221" s="12">
        <v>2.5</v>
      </c>
      <c r="F221" s="9" t="s">
        <v>65</v>
      </c>
      <c r="G221" s="23">
        <f>VLOOKUP(C221,Ingredient_Master!$B$4:$I$79,8,FALSE())</f>
        <v>2</v>
      </c>
      <c r="H221" s="13">
        <f t="shared" si="1"/>
        <v>5</v>
      </c>
    </row>
    <row r="222" ht="15.0" customHeight="1">
      <c r="A222" s="9" t="s">
        <v>344</v>
      </c>
      <c r="B222" s="9" t="s">
        <v>345</v>
      </c>
      <c r="C222" s="9" t="s">
        <v>170</v>
      </c>
      <c r="D222" s="9" t="s">
        <v>229</v>
      </c>
      <c r="E222" s="12">
        <v>6.0</v>
      </c>
      <c r="F222" s="9" t="s">
        <v>65</v>
      </c>
      <c r="G222" s="23">
        <f>VLOOKUP(C222,Ingredient_Master!$B$4:$I$79,8,FALSE())</f>
        <v>0.03</v>
      </c>
      <c r="H222" s="13">
        <f t="shared" si="1"/>
        <v>0.18</v>
      </c>
    </row>
    <row r="223" ht="15.0" customHeight="1">
      <c r="A223" s="9" t="s">
        <v>344</v>
      </c>
      <c r="B223" s="9" t="s">
        <v>345</v>
      </c>
      <c r="C223" s="9" t="s">
        <v>185</v>
      </c>
      <c r="D223" s="9" t="s">
        <v>349</v>
      </c>
      <c r="E223" s="12">
        <v>18.0</v>
      </c>
      <c r="F223" s="9" t="s">
        <v>94</v>
      </c>
      <c r="G223" s="23">
        <f>VLOOKUP(C223,Ingredient_Master!$B$4:$I$79,8,FALSE())</f>
        <v>3</v>
      </c>
      <c r="H223" s="13">
        <f t="shared" si="1"/>
        <v>54</v>
      </c>
    </row>
    <row r="224" ht="15.0" customHeight="1">
      <c r="A224" s="9" t="s">
        <v>344</v>
      </c>
      <c r="B224" s="9" t="s">
        <v>345</v>
      </c>
      <c r="C224" s="9" t="s">
        <v>159</v>
      </c>
      <c r="D224" s="9" t="s">
        <v>350</v>
      </c>
      <c r="E224" s="12">
        <v>30.0</v>
      </c>
      <c r="F224" s="9" t="s">
        <v>65</v>
      </c>
      <c r="G224" s="23">
        <f>VLOOKUP(C224,Ingredient_Master!$B$4:$I$79,8,FALSE())</f>
        <v>0.6</v>
      </c>
      <c r="H224" s="13">
        <f t="shared" si="1"/>
        <v>18</v>
      </c>
    </row>
    <row r="225" ht="15.0" customHeight="1">
      <c r="A225" s="9" t="s">
        <v>344</v>
      </c>
      <c r="B225" s="9" t="s">
        <v>345</v>
      </c>
      <c r="C225" s="9" t="s">
        <v>166</v>
      </c>
      <c r="D225" s="9" t="s">
        <v>350</v>
      </c>
      <c r="E225" s="12">
        <v>20.0</v>
      </c>
      <c r="F225" s="9" t="s">
        <v>65</v>
      </c>
      <c r="G225" s="23">
        <f>VLOOKUP(C225,Ingredient_Master!$B$4:$I$79,8,FALSE())</f>
        <v>0.55</v>
      </c>
      <c r="H225" s="13">
        <f t="shared" si="1"/>
        <v>11</v>
      </c>
    </row>
    <row r="226" ht="15.0" customHeight="1">
      <c r="A226" s="9" t="s">
        <v>351</v>
      </c>
      <c r="B226" s="9" t="s">
        <v>352</v>
      </c>
      <c r="C226" s="9" t="s">
        <v>71</v>
      </c>
      <c r="D226" s="9" t="s">
        <v>246</v>
      </c>
      <c r="E226" s="12">
        <v>500.0</v>
      </c>
      <c r="F226" s="9" t="s">
        <v>65</v>
      </c>
      <c r="G226" s="23">
        <f>VLOOKUP(C226,Ingredient_Master!$B$4:$I$79,8,FALSE())</f>
        <v>0.6315789474</v>
      </c>
      <c r="H226" s="13">
        <f t="shared" si="1"/>
        <v>315.7894737</v>
      </c>
    </row>
    <row r="227" ht="15.0" customHeight="1">
      <c r="A227" s="9" t="s">
        <v>351</v>
      </c>
      <c r="B227" s="9" t="s">
        <v>352</v>
      </c>
      <c r="C227" s="9" t="s">
        <v>134</v>
      </c>
      <c r="D227" s="9" t="s">
        <v>292</v>
      </c>
      <c r="E227" s="12">
        <v>80.0</v>
      </c>
      <c r="F227" s="9" t="s">
        <v>65</v>
      </c>
      <c r="G227" s="23">
        <f>VLOOKUP(C227,Ingredient_Master!$B$4:$I$79,8,FALSE())</f>
        <v>0.1333333333</v>
      </c>
      <c r="H227" s="13">
        <f t="shared" si="1"/>
        <v>10.66666667</v>
      </c>
    </row>
    <row r="228" ht="15.0" customHeight="1">
      <c r="A228" s="9" t="s">
        <v>351</v>
      </c>
      <c r="B228" s="9" t="s">
        <v>352</v>
      </c>
      <c r="C228" s="9" t="s">
        <v>139</v>
      </c>
      <c r="D228" s="9" t="s">
        <v>233</v>
      </c>
      <c r="E228" s="12">
        <v>6.0</v>
      </c>
      <c r="F228" s="9" t="s">
        <v>65</v>
      </c>
      <c r="G228" s="23">
        <f>VLOOKUP(C228,Ingredient_Master!$B$4:$I$79,8,FALSE())</f>
        <v>0.5555555556</v>
      </c>
      <c r="H228" s="13">
        <f t="shared" si="1"/>
        <v>3.333333333</v>
      </c>
    </row>
    <row r="229" ht="15.0" customHeight="1">
      <c r="A229" s="9" t="s">
        <v>351</v>
      </c>
      <c r="B229" s="9" t="s">
        <v>352</v>
      </c>
      <c r="C229" s="9" t="s">
        <v>92</v>
      </c>
      <c r="D229" s="9" t="s">
        <v>348</v>
      </c>
      <c r="E229" s="12">
        <v>1.0</v>
      </c>
      <c r="F229" s="9" t="s">
        <v>94</v>
      </c>
      <c r="G229" s="23">
        <f>VLOOKUP(C229,Ingredient_Master!$B$4:$I$79,8,FALSE())</f>
        <v>18</v>
      </c>
      <c r="H229" s="13">
        <f t="shared" si="1"/>
        <v>18</v>
      </c>
    </row>
    <row r="230" ht="15.0" customHeight="1">
      <c r="A230" s="9" t="s">
        <v>351</v>
      </c>
      <c r="B230" s="9" t="s">
        <v>352</v>
      </c>
      <c r="C230" s="9" t="s">
        <v>117</v>
      </c>
      <c r="D230" s="9" t="s">
        <v>283</v>
      </c>
      <c r="E230" s="12">
        <v>60.0</v>
      </c>
      <c r="F230" s="9" t="s">
        <v>65</v>
      </c>
      <c r="G230" s="23">
        <f>VLOOKUP(C230,Ingredient_Master!$B$4:$I$79,8,FALSE())</f>
        <v>0.3</v>
      </c>
      <c r="H230" s="13">
        <f t="shared" si="1"/>
        <v>18</v>
      </c>
    </row>
    <row r="231" ht="15.0" customHeight="1">
      <c r="A231" s="9" t="s">
        <v>351</v>
      </c>
      <c r="B231" s="9" t="s">
        <v>352</v>
      </c>
      <c r="C231" s="9" t="s">
        <v>172</v>
      </c>
      <c r="D231" s="9" t="s">
        <v>220</v>
      </c>
      <c r="E231" s="12">
        <v>2.5</v>
      </c>
      <c r="F231" s="9" t="s">
        <v>65</v>
      </c>
      <c r="G231" s="23">
        <f>VLOOKUP(C231,Ingredient_Master!$B$4:$I$79,8,FALSE())</f>
        <v>1.5</v>
      </c>
      <c r="H231" s="13">
        <f t="shared" si="1"/>
        <v>3.75</v>
      </c>
    </row>
    <row r="232" ht="15.0" customHeight="1">
      <c r="A232" s="9" t="s">
        <v>351</v>
      </c>
      <c r="B232" s="9" t="s">
        <v>352</v>
      </c>
      <c r="C232" s="9" t="s">
        <v>170</v>
      </c>
      <c r="D232" s="9" t="s">
        <v>220</v>
      </c>
      <c r="E232" s="12">
        <v>6.0</v>
      </c>
      <c r="F232" s="9" t="s">
        <v>65</v>
      </c>
      <c r="G232" s="23">
        <f>VLOOKUP(C232,Ingredient_Master!$B$4:$I$79,8,FALSE())</f>
        <v>0.03</v>
      </c>
      <c r="H232" s="13">
        <f t="shared" si="1"/>
        <v>0.18</v>
      </c>
    </row>
    <row r="233" ht="15.0" customHeight="1">
      <c r="A233" s="9" t="s">
        <v>351</v>
      </c>
      <c r="B233" s="9" t="s">
        <v>352</v>
      </c>
      <c r="C233" s="9" t="s">
        <v>174</v>
      </c>
      <c r="D233" s="9" t="s">
        <v>220</v>
      </c>
      <c r="E233" s="12">
        <v>2.5</v>
      </c>
      <c r="F233" s="9" t="s">
        <v>65</v>
      </c>
      <c r="G233" s="23">
        <f>VLOOKUP(C233,Ingredient_Master!$B$4:$I$79,8,FALSE())</f>
        <v>1.2</v>
      </c>
      <c r="H233" s="13">
        <f t="shared" si="1"/>
        <v>3</v>
      </c>
    </row>
    <row r="234" ht="15.0" customHeight="1">
      <c r="A234" s="9" t="s">
        <v>351</v>
      </c>
      <c r="B234" s="9" t="s">
        <v>352</v>
      </c>
      <c r="C234" s="9" t="s">
        <v>179</v>
      </c>
      <c r="D234" s="9" t="s">
        <v>220</v>
      </c>
      <c r="E234" s="12">
        <v>2.5</v>
      </c>
      <c r="F234" s="9" t="s">
        <v>65</v>
      </c>
      <c r="G234" s="23">
        <f>VLOOKUP(C234,Ingredient_Master!$B$4:$I$79,8,FALSE())</f>
        <v>2</v>
      </c>
      <c r="H234" s="13">
        <f t="shared" si="1"/>
        <v>5</v>
      </c>
    </row>
    <row r="235" ht="15.0" customHeight="1">
      <c r="A235" s="9" t="s">
        <v>351</v>
      </c>
      <c r="B235" s="9" t="s">
        <v>352</v>
      </c>
      <c r="C235" s="9" t="s">
        <v>164</v>
      </c>
      <c r="D235" s="9" t="s">
        <v>232</v>
      </c>
      <c r="E235" s="12">
        <v>15.0</v>
      </c>
      <c r="F235" s="9" t="s">
        <v>104</v>
      </c>
      <c r="G235" s="23">
        <f>VLOOKUP(C235,Ingredient_Master!$B$4:$I$79,8,FALSE())</f>
        <v>0.7</v>
      </c>
      <c r="H235" s="13">
        <f t="shared" si="1"/>
        <v>10.5</v>
      </c>
    </row>
    <row r="236" ht="15.0" customHeight="1">
      <c r="A236" s="9" t="s">
        <v>351</v>
      </c>
      <c r="B236" s="9" t="s">
        <v>352</v>
      </c>
      <c r="C236" s="9" t="s">
        <v>119</v>
      </c>
      <c r="D236" s="9" t="s">
        <v>353</v>
      </c>
      <c r="E236" s="12">
        <v>4.0</v>
      </c>
      <c r="F236" s="9" t="s">
        <v>94</v>
      </c>
      <c r="G236" s="23">
        <f>VLOOKUP(C236,Ingredient_Master!$B$4:$I$79,8,FALSE())</f>
        <v>25</v>
      </c>
      <c r="H236" s="13">
        <f t="shared" si="1"/>
        <v>100</v>
      </c>
    </row>
    <row r="237" ht="15.0" customHeight="1">
      <c r="A237" s="9" t="s">
        <v>351</v>
      </c>
      <c r="B237" s="9" t="s">
        <v>352</v>
      </c>
      <c r="C237" s="9" t="s">
        <v>145</v>
      </c>
      <c r="D237" s="9" t="s">
        <v>294</v>
      </c>
      <c r="E237" s="12">
        <v>40.0</v>
      </c>
      <c r="F237" s="9" t="s">
        <v>65</v>
      </c>
      <c r="G237" s="23">
        <f>VLOOKUP(C237,Ingredient_Master!$B$4:$I$79,8,FALSE())</f>
        <v>0.15</v>
      </c>
      <c r="H237" s="13">
        <f t="shared" si="1"/>
        <v>6</v>
      </c>
    </row>
    <row r="238" ht="15.0" customHeight="1">
      <c r="A238" s="9" t="s">
        <v>351</v>
      </c>
      <c r="B238" s="9" t="s">
        <v>352</v>
      </c>
      <c r="C238" s="9" t="s">
        <v>136</v>
      </c>
      <c r="D238" s="9" t="s">
        <v>301</v>
      </c>
      <c r="E238" s="12">
        <v>160.0</v>
      </c>
      <c r="F238" s="9" t="s">
        <v>65</v>
      </c>
      <c r="G238" s="23">
        <f>VLOOKUP(C238,Ingredient_Master!$B$4:$I$79,8,FALSE())</f>
        <v>0.1333333333</v>
      </c>
      <c r="H238" s="13">
        <f t="shared" si="1"/>
        <v>21.33333333</v>
      </c>
    </row>
    <row r="239" ht="15.0" customHeight="1">
      <c r="A239" s="9" t="s">
        <v>351</v>
      </c>
      <c r="B239" s="9" t="s">
        <v>352</v>
      </c>
      <c r="C239" s="9" t="s">
        <v>134</v>
      </c>
      <c r="D239" s="9" t="s">
        <v>354</v>
      </c>
      <c r="E239" s="12">
        <v>60.0</v>
      </c>
      <c r="F239" s="9" t="s">
        <v>65</v>
      </c>
      <c r="G239" s="23">
        <f>VLOOKUP(C239,Ingredient_Master!$B$4:$I$79,8,FALSE())</f>
        <v>0.1333333333</v>
      </c>
      <c r="H239" s="13">
        <f t="shared" si="1"/>
        <v>8</v>
      </c>
    </row>
    <row r="240" ht="15.0" customHeight="1">
      <c r="A240" s="9" t="s">
        <v>351</v>
      </c>
      <c r="B240" s="9" t="s">
        <v>352</v>
      </c>
      <c r="C240" s="9" t="s">
        <v>91</v>
      </c>
      <c r="D240" s="9" t="s">
        <v>355</v>
      </c>
      <c r="E240" s="12">
        <v>80.0</v>
      </c>
      <c r="F240" s="9" t="s">
        <v>65</v>
      </c>
      <c r="G240" s="23">
        <f>VLOOKUP(C240,Ingredient_Master!$B$4:$I$79,8,FALSE())</f>
        <v>1.111111111</v>
      </c>
      <c r="H240" s="13">
        <f t="shared" si="1"/>
        <v>88.88888889</v>
      </c>
    </row>
    <row r="241" ht="15.0" customHeight="1">
      <c r="A241" s="9" t="s">
        <v>351</v>
      </c>
      <c r="B241" s="9" t="s">
        <v>352</v>
      </c>
      <c r="C241" s="9" t="s">
        <v>156</v>
      </c>
      <c r="D241" s="9" t="s">
        <v>302</v>
      </c>
      <c r="E241" s="12">
        <v>40.0</v>
      </c>
      <c r="F241" s="9" t="s">
        <v>65</v>
      </c>
      <c r="G241" s="23">
        <f>VLOOKUP(C241,Ingredient_Master!$B$4:$I$79,8,FALSE())</f>
        <v>0.4</v>
      </c>
      <c r="H241" s="13">
        <f t="shared" si="1"/>
        <v>16</v>
      </c>
    </row>
    <row r="242" ht="15.0" customHeight="1">
      <c r="A242" s="9" t="s">
        <v>351</v>
      </c>
      <c r="B242" s="9" t="s">
        <v>352</v>
      </c>
      <c r="C242" s="9" t="s">
        <v>154</v>
      </c>
      <c r="D242" s="9" t="s">
        <v>302</v>
      </c>
      <c r="E242" s="12">
        <v>40.0</v>
      </c>
      <c r="F242" s="9" t="s">
        <v>65</v>
      </c>
      <c r="G242" s="23">
        <f>VLOOKUP(C242,Ingredient_Master!$B$4:$I$79,8,FALSE())</f>
        <v>0.5</v>
      </c>
      <c r="H242" s="13">
        <f t="shared" si="1"/>
        <v>20</v>
      </c>
    </row>
    <row r="243" ht="15.0" customHeight="1">
      <c r="A243" s="9" t="s">
        <v>351</v>
      </c>
      <c r="B243" s="9" t="s">
        <v>352</v>
      </c>
      <c r="C243" s="9" t="s">
        <v>157</v>
      </c>
      <c r="D243" s="9" t="s">
        <v>302</v>
      </c>
      <c r="E243" s="12">
        <v>10.0</v>
      </c>
      <c r="F243" s="9" t="s">
        <v>65</v>
      </c>
      <c r="G243" s="23">
        <f>VLOOKUP(C243,Ingredient_Master!$B$4:$I$79,8,FALSE())</f>
        <v>0.6</v>
      </c>
      <c r="H243" s="13">
        <f t="shared" si="1"/>
        <v>6</v>
      </c>
    </row>
    <row r="244" ht="15.0" customHeight="1">
      <c r="A244" s="9" t="s">
        <v>351</v>
      </c>
      <c r="B244" s="9" t="s">
        <v>352</v>
      </c>
      <c r="C244" s="9" t="s">
        <v>100</v>
      </c>
      <c r="D244" s="9" t="s">
        <v>356</v>
      </c>
      <c r="E244" s="12">
        <v>20.0</v>
      </c>
      <c r="F244" s="9" t="s">
        <v>65</v>
      </c>
      <c r="G244" s="23">
        <f>VLOOKUP(C244,Ingredient_Master!$B$4:$I$79,8,FALSE())</f>
        <v>0.9</v>
      </c>
      <c r="H244" s="13">
        <f t="shared" si="1"/>
        <v>18</v>
      </c>
    </row>
    <row r="245" ht="15.0" customHeight="1">
      <c r="A245" s="9" t="s">
        <v>351</v>
      </c>
      <c r="B245" s="9" t="s">
        <v>352</v>
      </c>
      <c r="C245" s="9" t="s">
        <v>189</v>
      </c>
      <c r="D245" s="9" t="s">
        <v>268</v>
      </c>
      <c r="E245" s="12">
        <v>4.0</v>
      </c>
      <c r="F245" s="9" t="s">
        <v>94</v>
      </c>
      <c r="G245" s="23">
        <f>VLOOKUP(C245,Ingredient_Master!$B$4:$I$79,8,FALSE())</f>
        <v>28</v>
      </c>
      <c r="H245" s="13">
        <f t="shared" si="1"/>
        <v>112</v>
      </c>
    </row>
    <row r="246" ht="15.0" customHeight="1">
      <c r="A246" s="9" t="s">
        <v>357</v>
      </c>
      <c r="B246" s="9" t="s">
        <v>358</v>
      </c>
      <c r="C246" s="9" t="s">
        <v>75</v>
      </c>
      <c r="D246" s="9" t="s">
        <v>298</v>
      </c>
      <c r="E246" s="12">
        <v>300.0</v>
      </c>
      <c r="F246" s="9" t="s">
        <v>65</v>
      </c>
      <c r="G246" s="23">
        <f>VLOOKUP(C246,Ingredient_Master!$B$4:$I$79,8,FALSE())</f>
        <v>0.7777777778</v>
      </c>
      <c r="H246" s="13">
        <f t="shared" si="1"/>
        <v>233.3333333</v>
      </c>
    </row>
    <row r="247" ht="15.0" customHeight="1">
      <c r="A247" s="9" t="s">
        <v>357</v>
      </c>
      <c r="B247" s="9" t="s">
        <v>358</v>
      </c>
      <c r="C247" s="9" t="s">
        <v>110</v>
      </c>
      <c r="D247" s="9" t="s">
        <v>359</v>
      </c>
      <c r="E247" s="12">
        <v>240.0</v>
      </c>
      <c r="F247" s="9" t="s">
        <v>104</v>
      </c>
      <c r="G247" s="23">
        <f>VLOOKUP(C247,Ingredient_Master!$B$4:$I$79,8,FALSE())</f>
        <v>0.08</v>
      </c>
      <c r="H247" s="13">
        <f t="shared" si="1"/>
        <v>19.2</v>
      </c>
    </row>
    <row r="248" ht="15.0" customHeight="1">
      <c r="A248" s="9" t="s">
        <v>357</v>
      </c>
      <c r="B248" s="9" t="s">
        <v>358</v>
      </c>
      <c r="C248" s="9" t="s">
        <v>115</v>
      </c>
      <c r="D248" s="9" t="s">
        <v>285</v>
      </c>
      <c r="E248" s="12">
        <v>120.0</v>
      </c>
      <c r="F248" s="9" t="s">
        <v>65</v>
      </c>
      <c r="G248" s="23">
        <f>VLOOKUP(C248,Ingredient_Master!$B$4:$I$79,8,FALSE())</f>
        <v>0.13</v>
      </c>
      <c r="H248" s="13">
        <f t="shared" si="1"/>
        <v>15.6</v>
      </c>
    </row>
    <row r="249" ht="15.0" customHeight="1">
      <c r="A249" s="9" t="s">
        <v>357</v>
      </c>
      <c r="B249" s="9" t="s">
        <v>358</v>
      </c>
      <c r="C249" s="9" t="s">
        <v>117</v>
      </c>
      <c r="D249" s="9" t="s">
        <v>283</v>
      </c>
      <c r="E249" s="12">
        <v>60.0</v>
      </c>
      <c r="F249" s="9" t="s">
        <v>65</v>
      </c>
      <c r="G249" s="23">
        <f>VLOOKUP(C249,Ingredient_Master!$B$4:$I$79,8,FALSE())</f>
        <v>0.3</v>
      </c>
      <c r="H249" s="13">
        <f t="shared" si="1"/>
        <v>18</v>
      </c>
    </row>
    <row r="250" ht="15.0" customHeight="1">
      <c r="A250" s="9" t="s">
        <v>357</v>
      </c>
      <c r="B250" s="9" t="s">
        <v>358</v>
      </c>
      <c r="C250" s="9" t="s">
        <v>170</v>
      </c>
      <c r="D250" s="9" t="s">
        <v>220</v>
      </c>
      <c r="E250" s="12">
        <v>6.0</v>
      </c>
      <c r="F250" s="9" t="s">
        <v>65</v>
      </c>
      <c r="G250" s="23">
        <f>VLOOKUP(C250,Ingredient_Master!$B$4:$I$79,8,FALSE())</f>
        <v>0.03</v>
      </c>
      <c r="H250" s="13">
        <f t="shared" si="1"/>
        <v>0.18</v>
      </c>
    </row>
    <row r="251" ht="15.0" customHeight="1">
      <c r="A251" s="9" t="s">
        <v>357</v>
      </c>
      <c r="B251" s="9" t="s">
        <v>358</v>
      </c>
      <c r="C251" s="9" t="s">
        <v>172</v>
      </c>
      <c r="D251" s="9" t="s">
        <v>220</v>
      </c>
      <c r="E251" s="12">
        <v>2.5</v>
      </c>
      <c r="F251" s="9" t="s">
        <v>65</v>
      </c>
      <c r="G251" s="23">
        <f>VLOOKUP(C251,Ingredient_Master!$B$4:$I$79,8,FALSE())</f>
        <v>1.5</v>
      </c>
      <c r="H251" s="13">
        <f t="shared" si="1"/>
        <v>3.75</v>
      </c>
    </row>
    <row r="252" ht="15.0" customHeight="1">
      <c r="A252" s="9" t="s">
        <v>357</v>
      </c>
      <c r="B252" s="9" t="s">
        <v>358</v>
      </c>
      <c r="C252" s="9" t="s">
        <v>174</v>
      </c>
      <c r="D252" s="9" t="s">
        <v>220</v>
      </c>
      <c r="E252" s="12">
        <v>2.5</v>
      </c>
      <c r="F252" s="9" t="s">
        <v>65</v>
      </c>
      <c r="G252" s="23">
        <f>VLOOKUP(C252,Ingredient_Master!$B$4:$I$79,8,FALSE())</f>
        <v>1.2</v>
      </c>
      <c r="H252" s="13">
        <f t="shared" si="1"/>
        <v>3</v>
      </c>
    </row>
    <row r="253" ht="15.0" customHeight="1">
      <c r="A253" s="9" t="s">
        <v>357</v>
      </c>
      <c r="B253" s="9" t="s">
        <v>358</v>
      </c>
      <c r="C253" s="9" t="s">
        <v>181</v>
      </c>
      <c r="D253" s="9" t="s">
        <v>220</v>
      </c>
      <c r="E253" s="12">
        <v>2.5</v>
      </c>
      <c r="F253" s="9" t="s">
        <v>65</v>
      </c>
      <c r="G253" s="23">
        <f>VLOOKUP(C253,Ingredient_Master!$B$4:$I$79,8,FALSE())</f>
        <v>1</v>
      </c>
      <c r="H253" s="13">
        <f t="shared" si="1"/>
        <v>2.5</v>
      </c>
    </row>
    <row r="254" ht="15.0" customHeight="1">
      <c r="A254" s="9" t="s">
        <v>357</v>
      </c>
      <c r="B254" s="9" t="s">
        <v>358</v>
      </c>
      <c r="C254" s="9" t="s">
        <v>182</v>
      </c>
      <c r="D254" s="9" t="s">
        <v>308</v>
      </c>
      <c r="E254" s="12">
        <v>1.0</v>
      </c>
      <c r="F254" s="9" t="s">
        <v>65</v>
      </c>
      <c r="G254" s="23">
        <f>VLOOKUP(C254,Ingredient_Master!$B$4:$I$79,8,FALSE())</f>
        <v>1</v>
      </c>
      <c r="H254" s="13">
        <f t="shared" si="1"/>
        <v>1</v>
      </c>
    </row>
    <row r="255" ht="15.0" customHeight="1">
      <c r="A255" s="9" t="s">
        <v>357</v>
      </c>
      <c r="B255" s="9" t="s">
        <v>358</v>
      </c>
      <c r="C255" s="9" t="s">
        <v>102</v>
      </c>
      <c r="D255" s="9" t="s">
        <v>287</v>
      </c>
      <c r="E255" s="12">
        <v>80.0</v>
      </c>
      <c r="F255" s="9" t="s">
        <v>104</v>
      </c>
      <c r="G255" s="23">
        <f>VLOOKUP(C255,Ingredient_Master!$B$4:$I$79,8,FALSE())</f>
        <v>0.32</v>
      </c>
      <c r="H255" s="13">
        <f t="shared" si="1"/>
        <v>25.6</v>
      </c>
    </row>
    <row r="256" ht="15.0" customHeight="1">
      <c r="A256" s="9" t="s">
        <v>357</v>
      </c>
      <c r="B256" s="9" t="s">
        <v>358</v>
      </c>
      <c r="C256" s="9" t="s">
        <v>119</v>
      </c>
      <c r="D256" s="9" t="s">
        <v>300</v>
      </c>
      <c r="E256" s="12">
        <v>2.0</v>
      </c>
      <c r="F256" s="9" t="s">
        <v>94</v>
      </c>
      <c r="G256" s="23">
        <f>VLOOKUP(C256,Ingredient_Master!$B$4:$I$79,8,FALSE())</f>
        <v>25</v>
      </c>
      <c r="H256" s="13">
        <f t="shared" si="1"/>
        <v>50</v>
      </c>
    </row>
    <row r="257" ht="15.0" customHeight="1">
      <c r="A257" s="9" t="s">
        <v>357</v>
      </c>
      <c r="B257" s="9" t="s">
        <v>358</v>
      </c>
      <c r="C257" s="9" t="s">
        <v>98</v>
      </c>
      <c r="D257" s="9" t="s">
        <v>291</v>
      </c>
      <c r="E257" s="12">
        <v>40.0</v>
      </c>
      <c r="F257" s="9" t="s">
        <v>65</v>
      </c>
      <c r="G257" s="23">
        <f>VLOOKUP(C257,Ingredient_Master!$B$4:$I$79,8,FALSE())</f>
        <v>1</v>
      </c>
      <c r="H257" s="13">
        <f t="shared" si="1"/>
        <v>40</v>
      </c>
    </row>
    <row r="258" ht="15.0" customHeight="1">
      <c r="A258" s="9" t="s">
        <v>357</v>
      </c>
      <c r="B258" s="9" t="s">
        <v>358</v>
      </c>
      <c r="C258" s="9" t="s">
        <v>145</v>
      </c>
      <c r="D258" s="9" t="s">
        <v>294</v>
      </c>
      <c r="E258" s="12">
        <v>30.0</v>
      </c>
      <c r="F258" s="9" t="s">
        <v>65</v>
      </c>
      <c r="G258" s="23">
        <f>VLOOKUP(C258,Ingredient_Master!$B$4:$I$79,8,FALSE())</f>
        <v>0.15</v>
      </c>
      <c r="H258" s="13">
        <f t="shared" si="1"/>
        <v>4.5</v>
      </c>
    </row>
    <row r="259" ht="15.0" customHeight="1">
      <c r="A259" s="9" t="s">
        <v>357</v>
      </c>
      <c r="B259" s="9" t="s">
        <v>358</v>
      </c>
      <c r="C259" s="9" t="s">
        <v>136</v>
      </c>
      <c r="D259" s="9" t="s">
        <v>301</v>
      </c>
      <c r="E259" s="12">
        <v>100.0</v>
      </c>
      <c r="F259" s="9" t="s">
        <v>65</v>
      </c>
      <c r="G259" s="23">
        <f>VLOOKUP(C259,Ingredient_Master!$B$4:$I$79,8,FALSE())</f>
        <v>0.1333333333</v>
      </c>
      <c r="H259" s="13">
        <f t="shared" si="1"/>
        <v>13.33333333</v>
      </c>
    </row>
    <row r="260" ht="15.0" customHeight="1">
      <c r="A260" s="9" t="s">
        <v>357</v>
      </c>
      <c r="B260" s="9" t="s">
        <v>358</v>
      </c>
      <c r="C260" s="9" t="s">
        <v>134</v>
      </c>
      <c r="D260" s="9" t="s">
        <v>301</v>
      </c>
      <c r="E260" s="12">
        <v>40.0</v>
      </c>
      <c r="F260" s="9" t="s">
        <v>65</v>
      </c>
      <c r="G260" s="23">
        <f>VLOOKUP(C260,Ingredient_Master!$B$4:$I$79,8,FALSE())</f>
        <v>0.1333333333</v>
      </c>
      <c r="H260" s="13">
        <f t="shared" si="1"/>
        <v>5.333333333</v>
      </c>
    </row>
    <row r="261" ht="15.0" customHeight="1">
      <c r="A261" s="9" t="s">
        <v>357</v>
      </c>
      <c r="B261" s="9" t="s">
        <v>358</v>
      </c>
      <c r="C261" s="9" t="s">
        <v>154</v>
      </c>
      <c r="D261" s="9" t="s">
        <v>302</v>
      </c>
      <c r="E261" s="12">
        <v>30.0</v>
      </c>
      <c r="F261" s="9" t="s">
        <v>65</v>
      </c>
      <c r="G261" s="23">
        <f>VLOOKUP(C261,Ingredient_Master!$B$4:$I$79,8,FALSE())</f>
        <v>0.5</v>
      </c>
      <c r="H261" s="13">
        <f t="shared" si="1"/>
        <v>15</v>
      </c>
    </row>
    <row r="262" ht="15.0" customHeight="1">
      <c r="A262" s="9" t="s">
        <v>357</v>
      </c>
      <c r="B262" s="9" t="s">
        <v>358</v>
      </c>
      <c r="C262" s="9" t="s">
        <v>189</v>
      </c>
      <c r="D262" s="9" t="s">
        <v>268</v>
      </c>
      <c r="E262" s="12">
        <v>2.0</v>
      </c>
      <c r="F262" s="9" t="s">
        <v>94</v>
      </c>
      <c r="G262" s="23">
        <f>VLOOKUP(C262,Ingredient_Master!$B$4:$I$79,8,FALSE())</f>
        <v>28</v>
      </c>
      <c r="H262" s="13">
        <f t="shared" si="1"/>
        <v>56</v>
      </c>
    </row>
    <row r="263" ht="15.0" customHeight="1">
      <c r="A263" s="9" t="s">
        <v>360</v>
      </c>
      <c r="B263" s="9" t="s">
        <v>361</v>
      </c>
      <c r="C263" s="9" t="s">
        <v>192</v>
      </c>
      <c r="D263" s="9" t="s">
        <v>362</v>
      </c>
      <c r="E263" s="12">
        <v>8.0</v>
      </c>
      <c r="F263" s="9" t="s">
        <v>65</v>
      </c>
      <c r="G263" s="23">
        <f>VLOOKUP(C263,Ingredient_Master!$B$4:$I$79,8,FALSE())</f>
        <v>2.5</v>
      </c>
      <c r="H263" s="13">
        <f t="shared" si="1"/>
        <v>20</v>
      </c>
    </row>
    <row r="264" ht="15.0" customHeight="1">
      <c r="A264" s="9" t="s">
        <v>360</v>
      </c>
      <c r="B264" s="9" t="s">
        <v>361</v>
      </c>
      <c r="C264" s="9" t="s">
        <v>108</v>
      </c>
      <c r="D264" s="9" t="s">
        <v>363</v>
      </c>
      <c r="E264" s="12">
        <v>150.0</v>
      </c>
      <c r="F264" s="9" t="s">
        <v>104</v>
      </c>
      <c r="G264" s="23">
        <f>VLOOKUP(C264,Ingredient_Master!$B$4:$I$79,8,FALSE())</f>
        <v>0.065</v>
      </c>
      <c r="H264" s="13">
        <f t="shared" si="1"/>
        <v>9.75</v>
      </c>
    </row>
    <row r="265" ht="15.0" customHeight="1">
      <c r="A265" s="9" t="s">
        <v>364</v>
      </c>
      <c r="B265" s="9" t="s">
        <v>365</v>
      </c>
      <c r="C265" s="9" t="s">
        <v>192</v>
      </c>
      <c r="D265" s="9" t="s">
        <v>362</v>
      </c>
      <c r="E265" s="12">
        <v>8.0</v>
      </c>
      <c r="F265" s="9" t="s">
        <v>65</v>
      </c>
      <c r="G265" s="23">
        <f>VLOOKUP(C265,Ingredient_Master!$B$4:$I$79,8,FALSE())</f>
        <v>2.5</v>
      </c>
      <c r="H265" s="13">
        <f t="shared" si="1"/>
        <v>20</v>
      </c>
    </row>
    <row r="266" ht="15.0" customHeight="1">
      <c r="A266" s="9" t="s">
        <v>366</v>
      </c>
      <c r="B266" s="9" t="s">
        <v>367</v>
      </c>
      <c r="C266" s="9" t="s">
        <v>192</v>
      </c>
      <c r="D266" s="9" t="s">
        <v>368</v>
      </c>
      <c r="E266" s="12">
        <v>16.0</v>
      </c>
      <c r="F266" s="9" t="s">
        <v>65</v>
      </c>
      <c r="G266" s="23">
        <f>VLOOKUP(C266,Ingredient_Master!$B$4:$I$79,8,FALSE())</f>
        <v>2.5</v>
      </c>
      <c r="H266" s="13">
        <f t="shared" si="1"/>
        <v>40</v>
      </c>
    </row>
    <row r="267" ht="15.0" customHeight="1">
      <c r="A267" s="9" t="s">
        <v>369</v>
      </c>
      <c r="B267" s="9" t="s">
        <v>370</v>
      </c>
      <c r="C267" s="9" t="s">
        <v>194</v>
      </c>
      <c r="D267" s="9" t="s">
        <v>371</v>
      </c>
      <c r="E267" s="12">
        <v>4.0</v>
      </c>
      <c r="F267" s="9" t="s">
        <v>65</v>
      </c>
      <c r="G267" s="23">
        <f>VLOOKUP(C267,Ingredient_Master!$B$4:$I$79,8,FALSE())</f>
        <v>1.2</v>
      </c>
      <c r="H267" s="13">
        <f t="shared" si="1"/>
        <v>4.8</v>
      </c>
    </row>
    <row r="268" ht="15.0" customHeight="1">
      <c r="A268" s="9" t="s">
        <v>369</v>
      </c>
      <c r="B268" s="9" t="s">
        <v>370</v>
      </c>
      <c r="C268" s="9" t="s">
        <v>108</v>
      </c>
      <c r="D268" s="9" t="s">
        <v>372</v>
      </c>
      <c r="E268" s="12">
        <v>100.0</v>
      </c>
      <c r="F268" s="9" t="s">
        <v>104</v>
      </c>
      <c r="G268" s="23">
        <f>VLOOKUP(C268,Ingredient_Master!$B$4:$I$79,8,FALSE())</f>
        <v>0.065</v>
      </c>
      <c r="H268" s="13">
        <f t="shared" si="1"/>
        <v>6.5</v>
      </c>
    </row>
    <row r="269" ht="15.0" customHeight="1">
      <c r="A269" s="9" t="s">
        <v>369</v>
      </c>
      <c r="B269" s="9" t="s">
        <v>370</v>
      </c>
      <c r="C269" s="9" t="s">
        <v>198</v>
      </c>
      <c r="D269" s="9" t="s">
        <v>373</v>
      </c>
      <c r="E269" s="12">
        <v>10.0</v>
      </c>
      <c r="F269" s="9" t="s">
        <v>65</v>
      </c>
      <c r="G269" s="23">
        <f>VLOOKUP(C269,Ingredient_Master!$B$4:$I$79,8,FALSE())</f>
        <v>0.16</v>
      </c>
      <c r="H269" s="13">
        <f t="shared" si="1"/>
        <v>1.6</v>
      </c>
    </row>
    <row r="270" ht="15.0" customHeight="1">
      <c r="A270" s="9" t="s">
        <v>374</v>
      </c>
      <c r="B270" s="9" t="s">
        <v>375</v>
      </c>
      <c r="C270" s="9" t="s">
        <v>200</v>
      </c>
      <c r="D270" s="9" t="s">
        <v>376</v>
      </c>
      <c r="E270" s="12">
        <v>120.0</v>
      </c>
      <c r="F270" s="9" t="s">
        <v>65</v>
      </c>
      <c r="G270" s="23">
        <f>VLOOKUP(C270,Ingredient_Master!$B$4:$I$79,8,FALSE())</f>
        <v>0.2857142857</v>
      </c>
      <c r="H270" s="13">
        <f t="shared" si="1"/>
        <v>34.28571429</v>
      </c>
    </row>
    <row r="271" ht="15.0" customHeight="1">
      <c r="A271" s="9" t="s">
        <v>374</v>
      </c>
      <c r="B271" s="9" t="s">
        <v>375</v>
      </c>
      <c r="C271" s="9" t="s">
        <v>198</v>
      </c>
      <c r="D271" s="9" t="s">
        <v>377</v>
      </c>
      <c r="E271" s="12">
        <v>25.0</v>
      </c>
      <c r="F271" s="9" t="s">
        <v>65</v>
      </c>
      <c r="G271" s="23">
        <f>VLOOKUP(C271,Ingredient_Master!$B$4:$I$79,8,FALSE())</f>
        <v>0.16</v>
      </c>
      <c r="H271" s="13">
        <f t="shared" si="1"/>
        <v>4</v>
      </c>
    </row>
    <row r="272" ht="15.0" customHeight="1">
      <c r="A272" s="9" t="s">
        <v>378</v>
      </c>
      <c r="B272" s="9" t="s">
        <v>379</v>
      </c>
      <c r="C272" s="9" t="s">
        <v>108</v>
      </c>
      <c r="D272" s="9" t="s">
        <v>317</v>
      </c>
      <c r="E272" s="12">
        <v>150.0</v>
      </c>
      <c r="F272" s="9" t="s">
        <v>104</v>
      </c>
      <c r="G272" s="23">
        <f>VLOOKUP(C272,Ingredient_Master!$B$4:$I$79,8,FALSE())</f>
        <v>0.065</v>
      </c>
      <c r="H272" s="13">
        <f t="shared" si="1"/>
        <v>9.75</v>
      </c>
    </row>
    <row r="273" ht="15.0" customHeight="1">
      <c r="A273" s="9" t="s">
        <v>378</v>
      </c>
      <c r="B273" s="9" t="s">
        <v>379</v>
      </c>
      <c r="C273" s="9" t="s">
        <v>196</v>
      </c>
      <c r="D273" s="9" t="s">
        <v>380</v>
      </c>
      <c r="E273" s="12">
        <v>100.0</v>
      </c>
      <c r="F273" s="9" t="s">
        <v>104</v>
      </c>
      <c r="G273" s="23">
        <f>VLOOKUP(C273,Ingredient_Master!$B$4:$I$79,8,FALSE())</f>
        <v>0.6</v>
      </c>
      <c r="H273" s="13">
        <f t="shared" si="1"/>
        <v>60</v>
      </c>
    </row>
    <row r="274" ht="15.0" customHeight="1">
      <c r="A274" s="9" t="s">
        <v>378</v>
      </c>
      <c r="B274" s="9" t="s">
        <v>379</v>
      </c>
      <c r="C274" s="9" t="s">
        <v>204</v>
      </c>
      <c r="D274" s="9" t="s">
        <v>381</v>
      </c>
      <c r="E274" s="12">
        <v>20.0</v>
      </c>
      <c r="F274" s="9" t="s">
        <v>104</v>
      </c>
      <c r="G274" s="23">
        <f>VLOOKUP(C274,Ingredient_Master!$B$4:$I$79,8,FALSE())</f>
        <v>0.8</v>
      </c>
      <c r="H274" s="13">
        <f t="shared" si="1"/>
        <v>16</v>
      </c>
    </row>
    <row r="275" ht="15.0" customHeight="1">
      <c r="A275" s="9" t="s">
        <v>382</v>
      </c>
      <c r="B275" s="9" t="s">
        <v>383</v>
      </c>
      <c r="C275" s="9" t="s">
        <v>108</v>
      </c>
      <c r="D275" s="9" t="s">
        <v>317</v>
      </c>
      <c r="E275" s="12">
        <v>150.0</v>
      </c>
      <c r="F275" s="9" t="s">
        <v>104</v>
      </c>
      <c r="G275" s="23">
        <f>VLOOKUP(C275,Ingredient_Master!$B$4:$I$79,8,FALSE())</f>
        <v>0.065</v>
      </c>
      <c r="H275" s="13">
        <f t="shared" si="1"/>
        <v>9.75</v>
      </c>
    </row>
    <row r="276" ht="15.0" customHeight="1">
      <c r="A276" s="9" t="s">
        <v>382</v>
      </c>
      <c r="B276" s="9" t="s">
        <v>383</v>
      </c>
      <c r="C276" s="9" t="s">
        <v>196</v>
      </c>
      <c r="D276" s="9" t="s">
        <v>384</v>
      </c>
      <c r="E276" s="12">
        <v>150.0</v>
      </c>
      <c r="F276" s="9" t="s">
        <v>104</v>
      </c>
      <c r="G276" s="23">
        <f>VLOOKUP(C276,Ingredient_Master!$B$4:$I$79,8,FALSE())</f>
        <v>0.6</v>
      </c>
      <c r="H276" s="13">
        <f t="shared" si="1"/>
        <v>90</v>
      </c>
    </row>
    <row r="277" ht="15.0" customHeight="1">
      <c r="A277" s="9" t="s">
        <v>382</v>
      </c>
      <c r="B277" s="9" t="s">
        <v>383</v>
      </c>
      <c r="C277" s="9" t="s">
        <v>204</v>
      </c>
      <c r="D277" s="9" t="s">
        <v>381</v>
      </c>
      <c r="E277" s="12">
        <v>30.0</v>
      </c>
      <c r="F277" s="9" t="s">
        <v>104</v>
      </c>
      <c r="G277" s="23">
        <f>VLOOKUP(C277,Ingredient_Master!$B$4:$I$79,8,FALSE())</f>
        <v>0.8</v>
      </c>
      <c r="H277" s="13">
        <f t="shared" si="1"/>
        <v>24</v>
      </c>
    </row>
    <row r="278" ht="15.0" customHeight="1">
      <c r="A278" s="9" t="s">
        <v>382</v>
      </c>
      <c r="B278" s="9" t="s">
        <v>383</v>
      </c>
      <c r="C278" s="9" t="s">
        <v>207</v>
      </c>
      <c r="D278" s="9" t="s">
        <v>385</v>
      </c>
      <c r="E278" s="12">
        <v>50.0</v>
      </c>
      <c r="F278" s="9" t="s">
        <v>104</v>
      </c>
      <c r="G278" s="23">
        <f>VLOOKUP(C278,Ingredient_Master!$B$4:$I$79,8,FALSE())</f>
        <v>0.7</v>
      </c>
      <c r="H278" s="13">
        <f t="shared" si="1"/>
        <v>35</v>
      </c>
    </row>
    <row r="279" ht="15.0" customHeight="1">
      <c r="A279" s="9" t="s">
        <v>382</v>
      </c>
      <c r="B279" s="9" t="s">
        <v>383</v>
      </c>
      <c r="C279" s="9" t="s">
        <v>206</v>
      </c>
      <c r="D279" s="9" t="s">
        <v>313</v>
      </c>
      <c r="E279" s="12">
        <v>40.0</v>
      </c>
      <c r="F279" s="9" t="s">
        <v>65</v>
      </c>
      <c r="G279" s="23">
        <f>VLOOKUP(C279,Ingredient_Master!$B$4:$I$79,8,FALSE())</f>
        <v>0.9</v>
      </c>
      <c r="H279" s="13">
        <f t="shared" si="1"/>
        <v>36</v>
      </c>
    </row>
    <row r="280" ht="15.0" customHeight="1">
      <c r="A280" s="9" t="s">
        <v>382</v>
      </c>
      <c r="B280" s="9" t="s">
        <v>383</v>
      </c>
      <c r="C280" s="9" t="s">
        <v>98</v>
      </c>
      <c r="D280" s="9" t="s">
        <v>386</v>
      </c>
      <c r="E280" s="12">
        <v>0.0</v>
      </c>
      <c r="F280" s="9" t="s">
        <v>65</v>
      </c>
      <c r="G280" s="23">
        <f>VLOOKUP(C280,Ingredient_Master!$B$4:$I$79,8,FALSE())</f>
        <v>1</v>
      </c>
      <c r="H280" s="13">
        <f t="shared" si="1"/>
        <v>0</v>
      </c>
    </row>
    <row r="281" ht="15.0" customHeight="1">
      <c r="A281" s="9" t="s">
        <v>387</v>
      </c>
      <c r="B281" s="9" t="s">
        <v>388</v>
      </c>
      <c r="C281" s="9" t="s">
        <v>149</v>
      </c>
      <c r="D281" s="9" t="s">
        <v>389</v>
      </c>
      <c r="E281" s="12">
        <v>3.0</v>
      </c>
      <c r="F281" s="9" t="s">
        <v>94</v>
      </c>
      <c r="G281" s="23">
        <f>VLOOKUP(C281,Ingredient_Master!$B$4:$I$79,8,FALSE())</f>
        <v>15</v>
      </c>
      <c r="H281" s="13">
        <f t="shared" si="1"/>
        <v>45</v>
      </c>
    </row>
    <row r="282" ht="15.0" customHeight="1">
      <c r="A282" s="9" t="s">
        <v>387</v>
      </c>
      <c r="B282" s="9" t="s">
        <v>388</v>
      </c>
      <c r="C282" s="9" t="s">
        <v>198</v>
      </c>
      <c r="D282" s="9" t="s">
        <v>390</v>
      </c>
      <c r="E282" s="12">
        <v>30.0</v>
      </c>
      <c r="F282" s="9" t="s">
        <v>65</v>
      </c>
      <c r="G282" s="23">
        <f>VLOOKUP(C282,Ingredient_Master!$B$4:$I$79,8,FALSE())</f>
        <v>0.16</v>
      </c>
      <c r="H282" s="13">
        <f t="shared" si="1"/>
        <v>4.8</v>
      </c>
    </row>
    <row r="283" ht="15.0" customHeight="1">
      <c r="A283" s="9" t="s">
        <v>391</v>
      </c>
      <c r="B283" s="9" t="s">
        <v>392</v>
      </c>
      <c r="C283" s="9" t="s">
        <v>151</v>
      </c>
      <c r="D283" s="9" t="s">
        <v>393</v>
      </c>
      <c r="E283" s="12">
        <v>1.5</v>
      </c>
      <c r="F283" s="9" t="s">
        <v>94</v>
      </c>
      <c r="G283" s="23">
        <f>VLOOKUP(C283,Ingredient_Master!$B$4:$I$79,8,FALSE())</f>
        <v>15</v>
      </c>
      <c r="H283" s="13">
        <f t="shared" si="1"/>
        <v>22.5</v>
      </c>
    </row>
    <row r="284" ht="15.0" customHeight="1">
      <c r="A284" s="9" t="s">
        <v>391</v>
      </c>
      <c r="B284" s="9" t="s">
        <v>392</v>
      </c>
      <c r="C284" s="9" t="s">
        <v>198</v>
      </c>
      <c r="D284" s="9" t="s">
        <v>390</v>
      </c>
      <c r="E284" s="12">
        <v>20.0</v>
      </c>
      <c r="F284" s="9" t="s">
        <v>65</v>
      </c>
      <c r="G284" s="23">
        <f>VLOOKUP(C284,Ingredient_Master!$B$4:$I$79,8,FALSE())</f>
        <v>0.16</v>
      </c>
      <c r="H284" s="13">
        <f t="shared" si="1"/>
        <v>3.2</v>
      </c>
    </row>
    <row r="285" ht="15.0" customHeight="1">
      <c r="A285" s="9" t="s">
        <v>391</v>
      </c>
      <c r="B285" s="9" t="s">
        <v>392</v>
      </c>
      <c r="C285" s="9" t="s">
        <v>152</v>
      </c>
      <c r="D285" s="9" t="s">
        <v>394</v>
      </c>
      <c r="E285" s="12">
        <v>2.0</v>
      </c>
      <c r="F285" s="9" t="s">
        <v>65</v>
      </c>
      <c r="G285" s="23">
        <f>VLOOKUP(C285,Ingredient_Master!$B$4:$I$79,8,FALSE())</f>
        <v>2</v>
      </c>
      <c r="H285" s="13">
        <f t="shared" si="1"/>
        <v>4</v>
      </c>
    </row>
    <row r="286" ht="15.0" customHeight="1">
      <c r="A286" s="9" t="s">
        <v>395</v>
      </c>
      <c r="B286" s="9" t="s">
        <v>396</v>
      </c>
      <c r="C286" s="9" t="s">
        <v>151</v>
      </c>
      <c r="D286" s="9" t="s">
        <v>393</v>
      </c>
      <c r="E286" s="12">
        <v>1.5</v>
      </c>
      <c r="F286" s="9" t="s">
        <v>94</v>
      </c>
      <c r="G286" s="23">
        <f>VLOOKUP(C286,Ingredient_Master!$B$4:$I$79,8,FALSE())</f>
        <v>15</v>
      </c>
      <c r="H286" s="13">
        <f t="shared" si="1"/>
        <v>22.5</v>
      </c>
    </row>
    <row r="287" ht="15.0" customHeight="1">
      <c r="A287" s="9" t="s">
        <v>395</v>
      </c>
      <c r="B287" s="9" t="s">
        <v>396</v>
      </c>
      <c r="C287" s="9" t="s">
        <v>198</v>
      </c>
      <c r="D287" s="9" t="s">
        <v>390</v>
      </c>
      <c r="E287" s="12">
        <v>20.0</v>
      </c>
      <c r="F287" s="9" t="s">
        <v>65</v>
      </c>
      <c r="G287" s="23">
        <f>VLOOKUP(C287,Ingredient_Master!$B$4:$I$79,8,FALSE())</f>
        <v>0.16</v>
      </c>
      <c r="H287" s="13">
        <f t="shared" si="1"/>
        <v>3.2</v>
      </c>
    </row>
    <row r="288" ht="15.0" customHeight="1">
      <c r="A288" s="9" t="s">
        <v>395</v>
      </c>
      <c r="B288" s="9" t="s">
        <v>396</v>
      </c>
      <c r="C288" s="9" t="s">
        <v>152</v>
      </c>
      <c r="D288" s="9" t="s">
        <v>397</v>
      </c>
      <c r="E288" s="12">
        <v>2.0</v>
      </c>
      <c r="F288" s="9" t="s">
        <v>65</v>
      </c>
      <c r="G288" s="23">
        <f>VLOOKUP(C288,Ingredient_Master!$B$4:$I$79,8,FALSE())</f>
        <v>2</v>
      </c>
      <c r="H288" s="13">
        <f t="shared" si="1"/>
        <v>4</v>
      </c>
    </row>
    <row r="289" ht="15.75" customHeight="1">
      <c r="A289" s="4"/>
      <c r="B289" s="4"/>
      <c r="C289" s="4"/>
      <c r="D289" s="4"/>
      <c r="E289" s="4"/>
      <c r="F289" s="4"/>
      <c r="G289" s="4"/>
      <c r="H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</row>
  </sheetData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34.0"/>
    <col customWidth="1" min="3" max="3" width="14.0"/>
    <col customWidth="1" min="4" max="4" width="30.0"/>
    <col customWidth="1" min="5" max="6" width="13.0"/>
    <col customWidth="1" min="7" max="7" width="15.0"/>
    <col customWidth="1" min="8" max="8" width="14.0"/>
    <col customWidth="1" min="9" max="9" width="11.0"/>
    <col customWidth="1" min="10" max="10" width="14.0"/>
    <col customWidth="1" min="11" max="11" width="12.0"/>
    <col customWidth="1" min="12" max="12" width="24.0"/>
    <col customWidth="1" min="13" max="26" width="8.71"/>
  </cols>
  <sheetData>
    <row r="1" ht="30.0" customHeight="1">
      <c r="A1" s="1" t="s">
        <v>398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</row>
    <row r="2" ht="15.0" customHeight="1">
      <c r="A2" s="7" t="s">
        <v>399</v>
      </c>
      <c r="M2" s="4"/>
    </row>
    <row r="3" ht="26.25" customHeight="1">
      <c r="A3" s="8" t="s">
        <v>210</v>
      </c>
      <c r="B3" s="8" t="s">
        <v>211</v>
      </c>
      <c r="C3" s="8" t="s">
        <v>400</v>
      </c>
      <c r="D3" s="8" t="s">
        <v>401</v>
      </c>
      <c r="E3" s="8" t="s">
        <v>402</v>
      </c>
      <c r="F3" s="8" t="s">
        <v>403</v>
      </c>
      <c r="G3" s="8" t="s">
        <v>404</v>
      </c>
      <c r="H3" s="8" t="s">
        <v>405</v>
      </c>
      <c r="I3" s="8" t="s">
        <v>406</v>
      </c>
      <c r="J3" s="8" t="s">
        <v>407</v>
      </c>
      <c r="K3" s="8" t="s">
        <v>408</v>
      </c>
      <c r="L3" s="8" t="s">
        <v>409</v>
      </c>
      <c r="M3" s="4"/>
    </row>
    <row r="4" ht="15.0" customHeight="1">
      <c r="A4" s="10" t="s">
        <v>217</v>
      </c>
      <c r="B4" s="9" t="s">
        <v>218</v>
      </c>
      <c r="C4" s="9" t="s">
        <v>410</v>
      </c>
      <c r="D4" s="15" t="s">
        <v>411</v>
      </c>
      <c r="E4" s="14">
        <v>1.0</v>
      </c>
      <c r="F4" s="13">
        <f>SUMIF(Recipe_BOM!$A$4:$A$288,A4,Recipe_BOM!$H$4:$H$288)</f>
        <v>227.7316667</v>
      </c>
      <c r="G4" s="13">
        <f t="shared" ref="G4:G36" si="1">F4/E4</f>
        <v>227.7316667</v>
      </c>
      <c r="H4" s="12">
        <v>900.0</v>
      </c>
      <c r="I4" s="24">
        <f t="shared" ref="I4:I36" si="2">IF(H4="","-",G4/H4)</f>
        <v>0.2530351852</v>
      </c>
      <c r="J4" s="13">
        <f t="shared" ref="J4:J36" si="3">IF(H4="","-",H4-G4)</f>
        <v>672.2683333</v>
      </c>
      <c r="K4" s="24">
        <f t="shared" ref="K4:K36" si="4">IF(H4="","-",(H4-G4)/H4)</f>
        <v>0.7469648148</v>
      </c>
      <c r="L4" s="9" t="str">
        <f t="shared" ref="L4:L36" si="5">IF(H4="","No menu price (recipe only)",IF(G4&gt;H4,"OVER PRICE - LOSS",IF(I4&gt;0.35,"OK - above target FC%","OK - healthy")))</f>
        <v>OK - healthy</v>
      </c>
      <c r="M4" s="4"/>
    </row>
    <row r="5" ht="15.0" customHeight="1">
      <c r="A5" s="10" t="s">
        <v>226</v>
      </c>
      <c r="B5" s="9" t="s">
        <v>227</v>
      </c>
      <c r="C5" s="9" t="s">
        <v>410</v>
      </c>
      <c r="D5" s="15" t="s">
        <v>412</v>
      </c>
      <c r="E5" s="14">
        <v>1.0</v>
      </c>
      <c r="F5" s="13">
        <f>SUMIF(Recipe_BOM!$A$4:$A$288,A5,Recipe_BOM!$H$4:$H$288)</f>
        <v>314.2419608</v>
      </c>
      <c r="G5" s="13">
        <f t="shared" si="1"/>
        <v>314.2419608</v>
      </c>
      <c r="H5" s="12">
        <v>1525.0</v>
      </c>
      <c r="I5" s="24">
        <f t="shared" si="2"/>
        <v>0.2060603022</v>
      </c>
      <c r="J5" s="13">
        <f t="shared" si="3"/>
        <v>1210.758039</v>
      </c>
      <c r="K5" s="24">
        <f t="shared" si="4"/>
        <v>0.7939396978</v>
      </c>
      <c r="L5" s="9" t="str">
        <f t="shared" si="5"/>
        <v>OK - healthy</v>
      </c>
      <c r="M5" s="4"/>
    </row>
    <row r="6" ht="15.0" customHeight="1">
      <c r="A6" s="10" t="s">
        <v>237</v>
      </c>
      <c r="B6" s="9" t="s">
        <v>238</v>
      </c>
      <c r="C6" s="9" t="s">
        <v>410</v>
      </c>
      <c r="D6" s="15" t="s">
        <v>413</v>
      </c>
      <c r="E6" s="14">
        <v>2.5</v>
      </c>
      <c r="F6" s="13">
        <f>SUMIF(Recipe_BOM!$A$4:$A$288,A6,Recipe_BOM!$H$4:$H$288)</f>
        <v>495.5394118</v>
      </c>
      <c r="G6" s="13">
        <f t="shared" si="1"/>
        <v>198.2157647</v>
      </c>
      <c r="H6" s="12">
        <v>800.0</v>
      </c>
      <c r="I6" s="24">
        <f t="shared" si="2"/>
        <v>0.2477697059</v>
      </c>
      <c r="J6" s="13">
        <f t="shared" si="3"/>
        <v>601.7842353</v>
      </c>
      <c r="K6" s="24">
        <f t="shared" si="4"/>
        <v>0.7522302941</v>
      </c>
      <c r="L6" s="9" t="str">
        <f t="shared" si="5"/>
        <v>OK - healthy</v>
      </c>
      <c r="M6" s="4"/>
    </row>
    <row r="7" ht="15.0" customHeight="1">
      <c r="A7" s="10" t="s">
        <v>244</v>
      </c>
      <c r="B7" s="9" t="s">
        <v>245</v>
      </c>
      <c r="C7" s="9" t="s">
        <v>410</v>
      </c>
      <c r="D7" s="15" t="s">
        <v>414</v>
      </c>
      <c r="E7" s="14">
        <v>2.5</v>
      </c>
      <c r="F7" s="13">
        <f>SUMIF(Recipe_BOM!$A$4:$A$288,A7,Recipe_BOM!$H$4:$H$288)</f>
        <v>508.6265033</v>
      </c>
      <c r="G7" s="13">
        <f t="shared" si="1"/>
        <v>203.4506013</v>
      </c>
      <c r="H7" s="12">
        <v>800.0</v>
      </c>
      <c r="I7" s="24">
        <f t="shared" si="2"/>
        <v>0.2543132516</v>
      </c>
      <c r="J7" s="13">
        <f t="shared" si="3"/>
        <v>596.5493987</v>
      </c>
      <c r="K7" s="24">
        <f t="shared" si="4"/>
        <v>0.7456867484</v>
      </c>
      <c r="L7" s="9" t="str">
        <f t="shared" si="5"/>
        <v>OK - healthy</v>
      </c>
      <c r="M7" s="4"/>
    </row>
    <row r="8" ht="15.0" customHeight="1">
      <c r="A8" s="10" t="s">
        <v>252</v>
      </c>
      <c r="B8" s="9" t="s">
        <v>253</v>
      </c>
      <c r="C8" s="9" t="s">
        <v>410</v>
      </c>
      <c r="D8" s="15" t="s">
        <v>415</v>
      </c>
      <c r="E8" s="14">
        <v>1.0</v>
      </c>
      <c r="F8" s="13">
        <f>SUMIF(Recipe_BOM!$A$4:$A$288,A8,Recipe_BOM!$H$4:$H$288)</f>
        <v>438.4533333</v>
      </c>
      <c r="G8" s="13">
        <f t="shared" si="1"/>
        <v>438.4533333</v>
      </c>
      <c r="H8" s="12"/>
      <c r="I8" s="24" t="str">
        <f t="shared" si="2"/>
        <v>-</v>
      </c>
      <c r="J8" s="13" t="str">
        <f t="shared" si="3"/>
        <v>-</v>
      </c>
      <c r="K8" s="24" t="str">
        <f t="shared" si="4"/>
        <v>-</v>
      </c>
      <c r="L8" s="9" t="str">
        <f t="shared" si="5"/>
        <v>No menu price (recipe only)</v>
      </c>
      <c r="M8" s="4"/>
    </row>
    <row r="9" ht="15.0" customHeight="1">
      <c r="A9" s="10" t="s">
        <v>257</v>
      </c>
      <c r="B9" s="9" t="s">
        <v>258</v>
      </c>
      <c r="C9" s="9" t="s">
        <v>410</v>
      </c>
      <c r="D9" s="15" t="s">
        <v>416</v>
      </c>
      <c r="E9" s="14">
        <v>4.0</v>
      </c>
      <c r="F9" s="13">
        <f>SUMIF(Recipe_BOM!$A$4:$A$288,A9,Recipe_BOM!$H$4:$H$288)</f>
        <v>667.1872222</v>
      </c>
      <c r="G9" s="13">
        <f t="shared" si="1"/>
        <v>166.7968056</v>
      </c>
      <c r="H9" s="12">
        <v>900.0</v>
      </c>
      <c r="I9" s="24">
        <f t="shared" si="2"/>
        <v>0.185329784</v>
      </c>
      <c r="J9" s="13">
        <f t="shared" si="3"/>
        <v>733.2031944</v>
      </c>
      <c r="K9" s="24">
        <f t="shared" si="4"/>
        <v>0.814670216</v>
      </c>
      <c r="L9" s="9" t="str">
        <f t="shared" si="5"/>
        <v>OK - healthy</v>
      </c>
      <c r="M9" s="4"/>
    </row>
    <row r="10" ht="15.0" customHeight="1">
      <c r="A10" s="10" t="s">
        <v>262</v>
      </c>
      <c r="B10" s="9" t="s">
        <v>263</v>
      </c>
      <c r="C10" s="9" t="s">
        <v>417</v>
      </c>
      <c r="D10" s="15" t="s">
        <v>418</v>
      </c>
      <c r="E10" s="14">
        <v>2.0</v>
      </c>
      <c r="F10" s="13">
        <f>SUMIF(Recipe_BOM!$A$4:$A$288,A10,Recipe_BOM!$H$4:$H$288)</f>
        <v>355.0216667</v>
      </c>
      <c r="G10" s="13">
        <f t="shared" si="1"/>
        <v>177.5108333</v>
      </c>
      <c r="H10" s="12">
        <v>1050.0</v>
      </c>
      <c r="I10" s="24">
        <f t="shared" si="2"/>
        <v>0.1690579365</v>
      </c>
      <c r="J10" s="13">
        <f t="shared" si="3"/>
        <v>872.4891667</v>
      </c>
      <c r="K10" s="24">
        <f t="shared" si="4"/>
        <v>0.8309420635</v>
      </c>
      <c r="L10" s="9" t="str">
        <f t="shared" si="5"/>
        <v>OK - healthy</v>
      </c>
      <c r="M10" s="4"/>
    </row>
    <row r="11" ht="15.0" customHeight="1">
      <c r="A11" s="10" t="s">
        <v>269</v>
      </c>
      <c r="B11" s="9" t="s">
        <v>270</v>
      </c>
      <c r="C11" s="9" t="s">
        <v>410</v>
      </c>
      <c r="D11" s="15" t="s">
        <v>419</v>
      </c>
      <c r="E11" s="14">
        <v>1.0</v>
      </c>
      <c r="F11" s="13">
        <f>SUMIF(Recipe_BOM!$A$4:$A$288,A11,Recipe_BOM!$H$4:$H$288)</f>
        <v>396.0097489</v>
      </c>
      <c r="G11" s="13">
        <f t="shared" si="1"/>
        <v>396.0097489</v>
      </c>
      <c r="H11" s="12">
        <v>850.0</v>
      </c>
      <c r="I11" s="24">
        <f t="shared" si="2"/>
        <v>0.4658938222</v>
      </c>
      <c r="J11" s="13">
        <f t="shared" si="3"/>
        <v>453.9902511</v>
      </c>
      <c r="K11" s="24">
        <f t="shared" si="4"/>
        <v>0.5341061778</v>
      </c>
      <c r="L11" s="9" t="str">
        <f t="shared" si="5"/>
        <v>OK - above target FC%</v>
      </c>
      <c r="M11" s="4"/>
    </row>
    <row r="12" ht="15.0" customHeight="1">
      <c r="A12" s="10" t="s">
        <v>275</v>
      </c>
      <c r="B12" s="9" t="s">
        <v>276</v>
      </c>
      <c r="C12" s="9" t="s">
        <v>410</v>
      </c>
      <c r="D12" s="15" t="s">
        <v>420</v>
      </c>
      <c r="E12" s="14">
        <v>1.0</v>
      </c>
      <c r="F12" s="13">
        <f>SUMIF(Recipe_BOM!$A$4:$A$288,A12,Recipe_BOM!$H$4:$H$288)</f>
        <v>472.0979842</v>
      </c>
      <c r="G12" s="13">
        <f t="shared" si="1"/>
        <v>472.0979842</v>
      </c>
      <c r="H12" s="12">
        <v>950.0</v>
      </c>
      <c r="I12" s="24">
        <f t="shared" si="2"/>
        <v>0.4969452465</v>
      </c>
      <c r="J12" s="13">
        <f t="shared" si="3"/>
        <v>477.9020158</v>
      </c>
      <c r="K12" s="24">
        <f t="shared" si="4"/>
        <v>0.5030547535</v>
      </c>
      <c r="L12" s="9" t="str">
        <f t="shared" si="5"/>
        <v>OK - above target FC%</v>
      </c>
      <c r="M12" s="4"/>
    </row>
    <row r="13" ht="15.0" customHeight="1">
      <c r="A13" s="10" t="s">
        <v>281</v>
      </c>
      <c r="B13" s="9" t="s">
        <v>282</v>
      </c>
      <c r="C13" s="9" t="s">
        <v>417</v>
      </c>
      <c r="D13" s="15" t="s">
        <v>421</v>
      </c>
      <c r="E13" s="14">
        <v>2.0</v>
      </c>
      <c r="F13" s="13">
        <f>SUMIF(Recipe_BOM!$A$4:$A$288,A13,Recipe_BOM!$H$4:$H$288)</f>
        <v>395.47</v>
      </c>
      <c r="G13" s="13">
        <f t="shared" si="1"/>
        <v>197.735</v>
      </c>
      <c r="H13" s="12">
        <v>900.0</v>
      </c>
      <c r="I13" s="24">
        <f t="shared" si="2"/>
        <v>0.2197055556</v>
      </c>
      <c r="J13" s="13">
        <f t="shared" si="3"/>
        <v>702.265</v>
      </c>
      <c r="K13" s="24">
        <f t="shared" si="4"/>
        <v>0.7802944444</v>
      </c>
      <c r="L13" s="9" t="str">
        <f t="shared" si="5"/>
        <v>OK - healthy</v>
      </c>
      <c r="M13" s="4"/>
    </row>
    <row r="14" ht="15.0" customHeight="1">
      <c r="A14" s="10" t="s">
        <v>288</v>
      </c>
      <c r="B14" s="9" t="s">
        <v>289</v>
      </c>
      <c r="C14" s="9" t="s">
        <v>422</v>
      </c>
      <c r="D14" s="15" t="s">
        <v>423</v>
      </c>
      <c r="E14" s="14">
        <v>1.0</v>
      </c>
      <c r="F14" s="13">
        <f>SUMIF(Recipe_BOM!$A$4:$A$288,A14,Recipe_BOM!$H$4:$H$288)</f>
        <v>268.4436601</v>
      </c>
      <c r="G14" s="13">
        <f t="shared" si="1"/>
        <v>268.4436601</v>
      </c>
      <c r="H14" s="12">
        <v>800.0</v>
      </c>
      <c r="I14" s="24">
        <f t="shared" si="2"/>
        <v>0.3355545752</v>
      </c>
      <c r="J14" s="13">
        <f t="shared" si="3"/>
        <v>531.5563399</v>
      </c>
      <c r="K14" s="24">
        <f t="shared" si="4"/>
        <v>0.6644454248</v>
      </c>
      <c r="L14" s="9" t="str">
        <f t="shared" si="5"/>
        <v>OK - healthy</v>
      </c>
      <c r="M14" s="4"/>
    </row>
    <row r="15" ht="15.0" customHeight="1">
      <c r="A15" s="10" t="s">
        <v>296</v>
      </c>
      <c r="B15" s="9" t="s">
        <v>297</v>
      </c>
      <c r="C15" s="9" t="s">
        <v>422</v>
      </c>
      <c r="D15" s="15" t="s">
        <v>424</v>
      </c>
      <c r="E15" s="14">
        <v>2.0</v>
      </c>
      <c r="F15" s="13">
        <f>SUMIF(Recipe_BOM!$A$4:$A$288,A15,Recipe_BOM!$H$4:$H$288)</f>
        <v>434.3466667</v>
      </c>
      <c r="G15" s="13">
        <f t="shared" si="1"/>
        <v>217.1733333</v>
      </c>
      <c r="H15" s="12">
        <v>900.0</v>
      </c>
      <c r="I15" s="24">
        <f t="shared" si="2"/>
        <v>0.2413037037</v>
      </c>
      <c r="J15" s="13">
        <f t="shared" si="3"/>
        <v>682.8266667</v>
      </c>
      <c r="K15" s="24">
        <f t="shared" si="4"/>
        <v>0.7586962963</v>
      </c>
      <c r="L15" s="9" t="str">
        <f t="shared" si="5"/>
        <v>OK - healthy</v>
      </c>
      <c r="M15" s="4"/>
    </row>
    <row r="16" ht="15.0" customHeight="1">
      <c r="A16" s="10" t="s">
        <v>303</v>
      </c>
      <c r="B16" s="9" t="s">
        <v>304</v>
      </c>
      <c r="C16" s="9" t="s">
        <v>422</v>
      </c>
      <c r="D16" s="15" t="s">
        <v>425</v>
      </c>
      <c r="E16" s="14">
        <v>1.0</v>
      </c>
      <c r="F16" s="13">
        <f>SUMIF(Recipe_BOM!$A$4:$A$288,A16,Recipe_BOM!$H$4:$H$288)</f>
        <v>99.72444444</v>
      </c>
      <c r="G16" s="13">
        <f t="shared" si="1"/>
        <v>99.72444444</v>
      </c>
      <c r="H16" s="12">
        <v>900.0</v>
      </c>
      <c r="I16" s="24">
        <f t="shared" si="2"/>
        <v>0.1108049383</v>
      </c>
      <c r="J16" s="13">
        <f t="shared" si="3"/>
        <v>800.2755556</v>
      </c>
      <c r="K16" s="24">
        <f t="shared" si="4"/>
        <v>0.8891950617</v>
      </c>
      <c r="L16" s="9" t="str">
        <f t="shared" si="5"/>
        <v>OK - healthy</v>
      </c>
      <c r="M16" s="4"/>
    </row>
    <row r="17" ht="15.0" customHeight="1">
      <c r="A17" s="10" t="s">
        <v>309</v>
      </c>
      <c r="B17" s="9" t="s">
        <v>310</v>
      </c>
      <c r="C17" s="9" t="s">
        <v>426</v>
      </c>
      <c r="D17" s="15" t="s">
        <v>427</v>
      </c>
      <c r="E17" s="14">
        <v>1.0</v>
      </c>
      <c r="F17" s="13">
        <f>SUMIF(Recipe_BOM!$A$4:$A$288,A17,Recipe_BOM!$H$4:$H$288)</f>
        <v>383.76</v>
      </c>
      <c r="G17" s="13">
        <f t="shared" si="1"/>
        <v>383.76</v>
      </c>
      <c r="H17" s="12">
        <v>1200.0</v>
      </c>
      <c r="I17" s="24">
        <f t="shared" si="2"/>
        <v>0.3198</v>
      </c>
      <c r="J17" s="13">
        <f t="shared" si="3"/>
        <v>816.24</v>
      </c>
      <c r="K17" s="24">
        <f t="shared" si="4"/>
        <v>0.6802</v>
      </c>
      <c r="L17" s="9" t="str">
        <f t="shared" si="5"/>
        <v>OK - healthy</v>
      </c>
      <c r="M17" s="4"/>
    </row>
    <row r="18" ht="15.0" customHeight="1">
      <c r="A18" s="10" t="s">
        <v>315</v>
      </c>
      <c r="B18" s="9" t="s">
        <v>316</v>
      </c>
      <c r="C18" s="9" t="s">
        <v>426</v>
      </c>
      <c r="D18" s="15" t="s">
        <v>428</v>
      </c>
      <c r="E18" s="14">
        <v>1.0</v>
      </c>
      <c r="F18" s="13">
        <f>SUMIF(Recipe_BOM!$A$4:$A$288,A18,Recipe_BOM!$H$4:$H$288)</f>
        <v>472.4266667</v>
      </c>
      <c r="G18" s="13">
        <f t="shared" si="1"/>
        <v>472.4266667</v>
      </c>
      <c r="H18" s="12">
        <v>1600.0</v>
      </c>
      <c r="I18" s="24">
        <f t="shared" si="2"/>
        <v>0.2952666667</v>
      </c>
      <c r="J18" s="13">
        <f t="shared" si="3"/>
        <v>1127.573333</v>
      </c>
      <c r="K18" s="24">
        <f t="shared" si="4"/>
        <v>0.7047333333</v>
      </c>
      <c r="L18" s="9" t="str">
        <f t="shared" si="5"/>
        <v>OK - healthy</v>
      </c>
      <c r="M18" s="4"/>
    </row>
    <row r="19" ht="15.0" customHeight="1">
      <c r="A19" s="10" t="s">
        <v>320</v>
      </c>
      <c r="B19" s="9" t="s">
        <v>321</v>
      </c>
      <c r="C19" s="9" t="s">
        <v>426</v>
      </c>
      <c r="D19" s="15" t="s">
        <v>429</v>
      </c>
      <c r="E19" s="14">
        <v>1.0</v>
      </c>
      <c r="F19" s="13">
        <f>SUMIF(Recipe_BOM!$A$4:$A$288,A19,Recipe_BOM!$H$4:$H$288)</f>
        <v>468.9130612</v>
      </c>
      <c r="G19" s="13">
        <f t="shared" si="1"/>
        <v>468.9130612</v>
      </c>
      <c r="H19" s="12">
        <v>1600.0</v>
      </c>
      <c r="I19" s="24">
        <f t="shared" si="2"/>
        <v>0.2930706633</v>
      </c>
      <c r="J19" s="13">
        <f t="shared" si="3"/>
        <v>1131.086939</v>
      </c>
      <c r="K19" s="24">
        <f t="shared" si="4"/>
        <v>0.7069293367</v>
      </c>
      <c r="L19" s="9" t="str">
        <f t="shared" si="5"/>
        <v>OK - healthy</v>
      </c>
      <c r="M19" s="4"/>
    </row>
    <row r="20" ht="15.0" customHeight="1">
      <c r="A20" s="10" t="s">
        <v>325</v>
      </c>
      <c r="B20" s="9" t="s">
        <v>326</v>
      </c>
      <c r="C20" s="9" t="s">
        <v>426</v>
      </c>
      <c r="D20" s="15" t="s">
        <v>430</v>
      </c>
      <c r="E20" s="14">
        <v>1.0</v>
      </c>
      <c r="F20" s="13">
        <f>SUMIF(Recipe_BOM!$A$4:$A$288,A20,Recipe_BOM!$H$4:$H$288)</f>
        <v>554.5023631</v>
      </c>
      <c r="G20" s="13">
        <f t="shared" si="1"/>
        <v>554.5023631</v>
      </c>
      <c r="H20" s="12">
        <v>2000.0</v>
      </c>
      <c r="I20" s="24">
        <f t="shared" si="2"/>
        <v>0.2772511815</v>
      </c>
      <c r="J20" s="13">
        <f t="shared" si="3"/>
        <v>1445.497637</v>
      </c>
      <c r="K20" s="24">
        <f t="shared" si="4"/>
        <v>0.7227488185</v>
      </c>
      <c r="L20" s="9" t="str">
        <f t="shared" si="5"/>
        <v>OK - healthy</v>
      </c>
      <c r="M20" s="4"/>
    </row>
    <row r="21" ht="15.0" customHeight="1">
      <c r="A21" s="10" t="s">
        <v>331</v>
      </c>
      <c r="B21" s="9" t="s">
        <v>332</v>
      </c>
      <c r="C21" s="9" t="s">
        <v>426</v>
      </c>
      <c r="D21" s="15" t="s">
        <v>431</v>
      </c>
      <c r="E21" s="14">
        <v>1.0</v>
      </c>
      <c r="F21" s="13">
        <f>SUMIF(Recipe_BOM!$A$4:$A$288,A21,Recipe_BOM!$H$4:$H$288)</f>
        <v>480.9040816</v>
      </c>
      <c r="G21" s="13">
        <f t="shared" si="1"/>
        <v>480.9040816</v>
      </c>
      <c r="H21" s="12">
        <v>1500.0</v>
      </c>
      <c r="I21" s="24">
        <f t="shared" si="2"/>
        <v>0.3206027211</v>
      </c>
      <c r="J21" s="13">
        <f t="shared" si="3"/>
        <v>1019.095918</v>
      </c>
      <c r="K21" s="24">
        <f t="shared" si="4"/>
        <v>0.6793972789</v>
      </c>
      <c r="L21" s="9" t="str">
        <f t="shared" si="5"/>
        <v>OK - healthy</v>
      </c>
      <c r="M21" s="4"/>
    </row>
    <row r="22" ht="15.0" customHeight="1">
      <c r="A22" s="10" t="s">
        <v>334</v>
      </c>
      <c r="B22" s="9" t="s">
        <v>335</v>
      </c>
      <c r="C22" s="9" t="s">
        <v>426</v>
      </c>
      <c r="D22" s="15" t="s">
        <v>432</v>
      </c>
      <c r="E22" s="14">
        <v>1.0</v>
      </c>
      <c r="F22" s="13">
        <f>SUMIF(Recipe_BOM!$A$4:$A$288,A22,Recipe_BOM!$H$4:$H$288)</f>
        <v>452.1117647</v>
      </c>
      <c r="G22" s="13">
        <f t="shared" si="1"/>
        <v>452.1117647</v>
      </c>
      <c r="H22" s="12">
        <v>1800.0</v>
      </c>
      <c r="I22" s="24">
        <f t="shared" si="2"/>
        <v>0.2511732026</v>
      </c>
      <c r="J22" s="13">
        <f t="shared" si="3"/>
        <v>1347.888235</v>
      </c>
      <c r="K22" s="24">
        <f t="shared" si="4"/>
        <v>0.7488267974</v>
      </c>
      <c r="L22" s="9" t="str">
        <f t="shared" si="5"/>
        <v>OK - healthy</v>
      </c>
      <c r="M22" s="4"/>
    </row>
    <row r="23" ht="15.0" customHeight="1">
      <c r="A23" s="10" t="s">
        <v>338</v>
      </c>
      <c r="B23" s="9" t="s">
        <v>339</v>
      </c>
      <c r="C23" s="9" t="s">
        <v>433</v>
      </c>
      <c r="D23" s="15" t="s">
        <v>434</v>
      </c>
      <c r="E23" s="14">
        <v>14.0</v>
      </c>
      <c r="F23" s="13">
        <f>SUMIF(Recipe_BOM!$A$4:$A$288,A23,Recipe_BOM!$H$4:$H$288)</f>
        <v>490.0006828</v>
      </c>
      <c r="G23" s="13">
        <f t="shared" si="1"/>
        <v>35.00004877</v>
      </c>
      <c r="H23" s="12">
        <v>250.0</v>
      </c>
      <c r="I23" s="24">
        <f t="shared" si="2"/>
        <v>0.1400001951</v>
      </c>
      <c r="J23" s="13">
        <f t="shared" si="3"/>
        <v>214.9999512</v>
      </c>
      <c r="K23" s="24">
        <f t="shared" si="4"/>
        <v>0.8599998049</v>
      </c>
      <c r="L23" s="9" t="str">
        <f t="shared" si="5"/>
        <v>OK - healthy</v>
      </c>
      <c r="M23" s="4"/>
    </row>
    <row r="24" ht="15.0" customHeight="1">
      <c r="A24" s="10" t="s">
        <v>344</v>
      </c>
      <c r="B24" s="9" t="s">
        <v>345</v>
      </c>
      <c r="C24" s="9" t="s">
        <v>433</v>
      </c>
      <c r="D24" s="15" t="s">
        <v>435</v>
      </c>
      <c r="E24" s="14">
        <v>18.0</v>
      </c>
      <c r="F24" s="13">
        <f>SUMIF(Recipe_BOM!$A$4:$A$288,A24,Recipe_BOM!$H$4:$H$288)</f>
        <v>777.7540454</v>
      </c>
      <c r="G24" s="13">
        <f t="shared" si="1"/>
        <v>43.20855808</v>
      </c>
      <c r="H24" s="12">
        <v>500.0</v>
      </c>
      <c r="I24" s="24">
        <f t="shared" si="2"/>
        <v>0.08641711616</v>
      </c>
      <c r="J24" s="13">
        <f t="shared" si="3"/>
        <v>456.7914419</v>
      </c>
      <c r="K24" s="24">
        <f t="shared" si="4"/>
        <v>0.9135828838</v>
      </c>
      <c r="L24" s="9" t="str">
        <f t="shared" si="5"/>
        <v>OK - healthy</v>
      </c>
      <c r="M24" s="4"/>
    </row>
    <row r="25" ht="15.0" customHeight="1">
      <c r="A25" s="10" t="s">
        <v>351</v>
      </c>
      <c r="B25" s="9" t="s">
        <v>352</v>
      </c>
      <c r="C25" s="9" t="s">
        <v>436</v>
      </c>
      <c r="D25" s="15" t="s">
        <v>437</v>
      </c>
      <c r="E25" s="14">
        <v>4.0</v>
      </c>
      <c r="F25" s="13">
        <f>SUMIF(Recipe_BOM!$A$4:$A$288,A25,Recipe_BOM!$H$4:$H$288)</f>
        <v>784.4416959</v>
      </c>
      <c r="G25" s="13">
        <f t="shared" si="1"/>
        <v>196.110424</v>
      </c>
      <c r="H25" s="12">
        <v>650.0</v>
      </c>
      <c r="I25" s="24">
        <f t="shared" si="2"/>
        <v>0.3017083446</v>
      </c>
      <c r="J25" s="13">
        <f t="shared" si="3"/>
        <v>453.889576</v>
      </c>
      <c r="K25" s="24">
        <f t="shared" si="4"/>
        <v>0.6982916554</v>
      </c>
      <c r="L25" s="9" t="str">
        <f t="shared" si="5"/>
        <v>OK - healthy</v>
      </c>
      <c r="M25" s="4"/>
    </row>
    <row r="26" ht="15.0" customHeight="1">
      <c r="A26" s="10" t="s">
        <v>357</v>
      </c>
      <c r="B26" s="9" t="s">
        <v>358</v>
      </c>
      <c r="C26" s="9" t="s">
        <v>436</v>
      </c>
      <c r="D26" s="15" t="s">
        <v>438</v>
      </c>
      <c r="E26" s="14">
        <v>2.0</v>
      </c>
      <c r="F26" s="13">
        <f>SUMIF(Recipe_BOM!$A$4:$A$288,A26,Recipe_BOM!$H$4:$H$288)</f>
        <v>506.33</v>
      </c>
      <c r="G26" s="13">
        <f t="shared" si="1"/>
        <v>253.165</v>
      </c>
      <c r="H26" s="12">
        <v>1150.0</v>
      </c>
      <c r="I26" s="24">
        <f t="shared" si="2"/>
        <v>0.2201434783</v>
      </c>
      <c r="J26" s="13">
        <f t="shared" si="3"/>
        <v>896.835</v>
      </c>
      <c r="K26" s="24">
        <f t="shared" si="4"/>
        <v>0.7798565217</v>
      </c>
      <c r="L26" s="9" t="str">
        <f t="shared" si="5"/>
        <v>OK - healthy</v>
      </c>
      <c r="M26" s="4"/>
    </row>
    <row r="27" ht="15.0" customHeight="1">
      <c r="A27" s="10" t="s">
        <v>360</v>
      </c>
      <c r="B27" s="9" t="s">
        <v>361</v>
      </c>
      <c r="C27" s="9" t="s">
        <v>439</v>
      </c>
      <c r="D27" s="15" t="s">
        <v>440</v>
      </c>
      <c r="E27" s="14">
        <v>1.0</v>
      </c>
      <c r="F27" s="13">
        <f>SUMIF(Recipe_BOM!$A$4:$A$288,A27,Recipe_BOM!$H$4:$H$288)</f>
        <v>29.75</v>
      </c>
      <c r="G27" s="13">
        <f t="shared" si="1"/>
        <v>29.75</v>
      </c>
      <c r="H27" s="12">
        <v>350.0</v>
      </c>
      <c r="I27" s="24">
        <f t="shared" si="2"/>
        <v>0.085</v>
      </c>
      <c r="J27" s="13">
        <f t="shared" si="3"/>
        <v>320.25</v>
      </c>
      <c r="K27" s="24">
        <f t="shared" si="4"/>
        <v>0.915</v>
      </c>
      <c r="L27" s="9" t="str">
        <f t="shared" si="5"/>
        <v>OK - healthy</v>
      </c>
      <c r="M27" s="4"/>
    </row>
    <row r="28" ht="15.0" customHeight="1">
      <c r="A28" s="10" t="s">
        <v>364</v>
      </c>
      <c r="B28" s="9" t="s">
        <v>365</v>
      </c>
      <c r="C28" s="9" t="s">
        <v>439</v>
      </c>
      <c r="D28" s="15" t="s">
        <v>440</v>
      </c>
      <c r="E28" s="14">
        <v>1.0</v>
      </c>
      <c r="F28" s="13">
        <f>SUMIF(Recipe_BOM!$A$4:$A$288,A28,Recipe_BOM!$H$4:$H$288)</f>
        <v>20</v>
      </c>
      <c r="G28" s="13">
        <f t="shared" si="1"/>
        <v>20</v>
      </c>
      <c r="H28" s="12">
        <v>250.0</v>
      </c>
      <c r="I28" s="24">
        <f t="shared" si="2"/>
        <v>0.08</v>
      </c>
      <c r="J28" s="13">
        <f t="shared" si="3"/>
        <v>230</v>
      </c>
      <c r="K28" s="24">
        <f t="shared" si="4"/>
        <v>0.92</v>
      </c>
      <c r="L28" s="9" t="str">
        <f t="shared" si="5"/>
        <v>OK - healthy</v>
      </c>
      <c r="M28" s="4"/>
    </row>
    <row r="29" ht="15.0" customHeight="1">
      <c r="A29" s="10" t="s">
        <v>366</v>
      </c>
      <c r="B29" s="9" t="s">
        <v>367</v>
      </c>
      <c r="C29" s="9" t="s">
        <v>439</v>
      </c>
      <c r="D29" s="15" t="s">
        <v>441</v>
      </c>
      <c r="E29" s="14">
        <v>1.0</v>
      </c>
      <c r="F29" s="13">
        <f>SUMIF(Recipe_BOM!$A$4:$A$288,A29,Recipe_BOM!$H$4:$H$288)</f>
        <v>40</v>
      </c>
      <c r="G29" s="13">
        <f t="shared" si="1"/>
        <v>40</v>
      </c>
      <c r="H29" s="12">
        <v>400.0</v>
      </c>
      <c r="I29" s="24">
        <f t="shared" si="2"/>
        <v>0.1</v>
      </c>
      <c r="J29" s="13">
        <f t="shared" si="3"/>
        <v>360</v>
      </c>
      <c r="K29" s="24">
        <f t="shared" si="4"/>
        <v>0.9</v>
      </c>
      <c r="L29" s="9" t="str">
        <f t="shared" si="5"/>
        <v>OK - healthy</v>
      </c>
      <c r="M29" s="4"/>
    </row>
    <row r="30" ht="15.0" customHeight="1">
      <c r="A30" s="10" t="s">
        <v>369</v>
      </c>
      <c r="B30" s="9" t="s">
        <v>370</v>
      </c>
      <c r="C30" s="9" t="s">
        <v>442</v>
      </c>
      <c r="D30" s="15" t="s">
        <v>440</v>
      </c>
      <c r="E30" s="14">
        <v>1.0</v>
      </c>
      <c r="F30" s="13">
        <f>SUMIF(Recipe_BOM!$A$4:$A$288,A30,Recipe_BOM!$H$4:$H$288)</f>
        <v>12.9</v>
      </c>
      <c r="G30" s="13">
        <f t="shared" si="1"/>
        <v>12.9</v>
      </c>
      <c r="H30" s="12">
        <v>320.0</v>
      </c>
      <c r="I30" s="24">
        <f t="shared" si="2"/>
        <v>0.0403125</v>
      </c>
      <c r="J30" s="13">
        <f t="shared" si="3"/>
        <v>307.1</v>
      </c>
      <c r="K30" s="24">
        <f t="shared" si="4"/>
        <v>0.9596875</v>
      </c>
      <c r="L30" s="9" t="str">
        <f t="shared" si="5"/>
        <v>OK - healthy</v>
      </c>
      <c r="M30" s="4"/>
    </row>
    <row r="31" ht="15.0" customHeight="1">
      <c r="A31" s="10" t="s">
        <v>374</v>
      </c>
      <c r="B31" s="9" t="s">
        <v>375</v>
      </c>
      <c r="C31" s="9" t="s">
        <v>443</v>
      </c>
      <c r="D31" s="15" t="s">
        <v>440</v>
      </c>
      <c r="E31" s="14">
        <v>1.0</v>
      </c>
      <c r="F31" s="13">
        <f>SUMIF(Recipe_BOM!$A$4:$A$288,A31,Recipe_BOM!$H$4:$H$288)</f>
        <v>38.28571429</v>
      </c>
      <c r="G31" s="13">
        <f t="shared" si="1"/>
        <v>38.28571429</v>
      </c>
      <c r="H31" s="12">
        <v>400.0</v>
      </c>
      <c r="I31" s="24">
        <f t="shared" si="2"/>
        <v>0.09571428571</v>
      </c>
      <c r="J31" s="13">
        <f t="shared" si="3"/>
        <v>361.7142857</v>
      </c>
      <c r="K31" s="24">
        <f t="shared" si="4"/>
        <v>0.9042857143</v>
      </c>
      <c r="L31" s="9" t="str">
        <f t="shared" si="5"/>
        <v>OK - healthy</v>
      </c>
      <c r="M31" s="4"/>
    </row>
    <row r="32" ht="15.0" customHeight="1">
      <c r="A32" s="10" t="s">
        <v>378</v>
      </c>
      <c r="B32" s="9" t="s">
        <v>379</v>
      </c>
      <c r="C32" s="9" t="s">
        <v>444</v>
      </c>
      <c r="D32" s="15" t="s">
        <v>440</v>
      </c>
      <c r="E32" s="14">
        <v>1.0</v>
      </c>
      <c r="F32" s="13">
        <f>SUMIF(Recipe_BOM!$A$4:$A$288,A32,Recipe_BOM!$H$4:$H$288)</f>
        <v>85.75</v>
      </c>
      <c r="G32" s="13">
        <f t="shared" si="1"/>
        <v>85.75</v>
      </c>
      <c r="H32" s="12">
        <v>400.0</v>
      </c>
      <c r="I32" s="24">
        <f t="shared" si="2"/>
        <v>0.214375</v>
      </c>
      <c r="J32" s="13">
        <f t="shared" si="3"/>
        <v>314.25</v>
      </c>
      <c r="K32" s="24">
        <f t="shared" si="4"/>
        <v>0.785625</v>
      </c>
      <c r="L32" s="9" t="str">
        <f t="shared" si="5"/>
        <v>OK - healthy</v>
      </c>
      <c r="M32" s="4"/>
    </row>
    <row r="33" ht="15.0" customHeight="1">
      <c r="A33" s="10" t="s">
        <v>382</v>
      </c>
      <c r="B33" s="9" t="s">
        <v>383</v>
      </c>
      <c r="C33" s="9" t="s">
        <v>445</v>
      </c>
      <c r="D33" s="15" t="s">
        <v>446</v>
      </c>
      <c r="E33" s="14">
        <v>1.0</v>
      </c>
      <c r="F33" s="13">
        <f>SUMIF(Recipe_BOM!$A$4:$A$288,A33,Recipe_BOM!$H$4:$H$288)</f>
        <v>194.75</v>
      </c>
      <c r="G33" s="13">
        <f t="shared" si="1"/>
        <v>194.75</v>
      </c>
      <c r="H33" s="12">
        <v>750.0</v>
      </c>
      <c r="I33" s="24">
        <f t="shared" si="2"/>
        <v>0.2596666667</v>
      </c>
      <c r="J33" s="13">
        <f t="shared" si="3"/>
        <v>555.25</v>
      </c>
      <c r="K33" s="24">
        <f t="shared" si="4"/>
        <v>0.7403333333</v>
      </c>
      <c r="L33" s="9" t="str">
        <f t="shared" si="5"/>
        <v>OK - healthy</v>
      </c>
      <c r="M33" s="4"/>
    </row>
    <row r="34" ht="15.0" customHeight="1">
      <c r="A34" s="10" t="s">
        <v>387</v>
      </c>
      <c r="B34" s="9" t="s">
        <v>388</v>
      </c>
      <c r="C34" s="9" t="s">
        <v>447</v>
      </c>
      <c r="D34" s="15" t="s">
        <v>440</v>
      </c>
      <c r="E34" s="14">
        <v>1.0</v>
      </c>
      <c r="F34" s="13">
        <f>SUMIF(Recipe_BOM!$A$4:$A$288,A34,Recipe_BOM!$H$4:$H$288)</f>
        <v>49.8</v>
      </c>
      <c r="G34" s="13">
        <f t="shared" si="1"/>
        <v>49.8</v>
      </c>
      <c r="H34" s="12">
        <v>450.0</v>
      </c>
      <c r="I34" s="24">
        <f t="shared" si="2"/>
        <v>0.1106666667</v>
      </c>
      <c r="J34" s="13">
        <f t="shared" si="3"/>
        <v>400.2</v>
      </c>
      <c r="K34" s="24">
        <f t="shared" si="4"/>
        <v>0.8893333333</v>
      </c>
      <c r="L34" s="9" t="str">
        <f t="shared" si="5"/>
        <v>OK - healthy</v>
      </c>
      <c r="M34" s="4"/>
    </row>
    <row r="35" ht="15.0" customHeight="1">
      <c r="A35" s="10" t="s">
        <v>391</v>
      </c>
      <c r="B35" s="9" t="s">
        <v>392</v>
      </c>
      <c r="C35" s="9" t="s">
        <v>448</v>
      </c>
      <c r="D35" s="15" t="s">
        <v>440</v>
      </c>
      <c r="E35" s="14">
        <v>1.0</v>
      </c>
      <c r="F35" s="13">
        <f>SUMIF(Recipe_BOM!$A$4:$A$288,A35,Recipe_BOM!$H$4:$H$288)</f>
        <v>29.7</v>
      </c>
      <c r="G35" s="13">
        <f t="shared" si="1"/>
        <v>29.7</v>
      </c>
      <c r="H35" s="12">
        <v>400.0</v>
      </c>
      <c r="I35" s="24">
        <f t="shared" si="2"/>
        <v>0.07425</v>
      </c>
      <c r="J35" s="13">
        <f t="shared" si="3"/>
        <v>370.3</v>
      </c>
      <c r="K35" s="24">
        <f t="shared" si="4"/>
        <v>0.92575</v>
      </c>
      <c r="L35" s="9" t="str">
        <f t="shared" si="5"/>
        <v>OK - healthy</v>
      </c>
      <c r="M35" s="4"/>
    </row>
    <row r="36" ht="15.0" customHeight="1">
      <c r="A36" s="10" t="s">
        <v>395</v>
      </c>
      <c r="B36" s="9" t="s">
        <v>396</v>
      </c>
      <c r="C36" s="9" t="s">
        <v>449</v>
      </c>
      <c r="D36" s="15" t="s">
        <v>450</v>
      </c>
      <c r="E36" s="14">
        <v>1.0</v>
      </c>
      <c r="F36" s="13">
        <f>SUMIF(Recipe_BOM!$A$4:$A$288,A36,Recipe_BOM!$H$4:$H$288)</f>
        <v>29.7</v>
      </c>
      <c r="G36" s="13">
        <f t="shared" si="1"/>
        <v>29.7</v>
      </c>
      <c r="H36" s="12">
        <v>950.0</v>
      </c>
      <c r="I36" s="24">
        <f t="shared" si="2"/>
        <v>0.03126315789</v>
      </c>
      <c r="J36" s="13">
        <f t="shared" si="3"/>
        <v>920.3</v>
      </c>
      <c r="K36" s="24">
        <f t="shared" si="4"/>
        <v>0.9687368421</v>
      </c>
      <c r="L36" s="9" t="str">
        <f t="shared" si="5"/>
        <v>OK - healthy</v>
      </c>
      <c r="M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</row>
  </sheetData>
  <mergeCells count="2">
    <mergeCell ref="A1:L1"/>
    <mergeCell ref="A2:L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32.0"/>
    <col customWidth="1" min="3" max="3" width="16.0"/>
    <col customWidth="1" min="4" max="4" width="8.0"/>
    <col customWidth="1" min="5" max="5" width="11.0"/>
    <col customWidth="1" min="6" max="6" width="26.0"/>
    <col customWidth="1" min="7" max="7" width="22.0"/>
    <col customWidth="1" min="8" max="8" width="30.0"/>
    <col customWidth="1" min="9" max="26" width="8.71"/>
  </cols>
  <sheetData>
    <row r="1" ht="30.0" customHeight="1">
      <c r="A1" s="1" t="s">
        <v>451</v>
      </c>
      <c r="B1" s="2"/>
      <c r="C1" s="2"/>
      <c r="D1" s="2"/>
      <c r="E1" s="2"/>
      <c r="F1" s="2"/>
      <c r="G1" s="2"/>
      <c r="H1" s="3"/>
    </row>
    <row r="2" ht="15.0" customHeight="1">
      <c r="A2" s="7" t="s">
        <v>452</v>
      </c>
    </row>
    <row r="3" ht="26.25" customHeight="1">
      <c r="A3" s="8" t="s">
        <v>453</v>
      </c>
      <c r="B3" s="8" t="s">
        <v>454</v>
      </c>
      <c r="C3" s="8" t="s">
        <v>400</v>
      </c>
      <c r="D3" s="8" t="s">
        <v>455</v>
      </c>
      <c r="E3" s="8" t="s">
        <v>456</v>
      </c>
      <c r="F3" s="8" t="s">
        <v>457</v>
      </c>
      <c r="G3" s="8" t="s">
        <v>401</v>
      </c>
      <c r="H3" s="8" t="s">
        <v>458</v>
      </c>
    </row>
    <row r="4" ht="15.0" customHeight="1">
      <c r="A4" s="17" t="s">
        <v>459</v>
      </c>
      <c r="B4" s="16" t="s">
        <v>460</v>
      </c>
      <c r="C4" s="16" t="s">
        <v>461</v>
      </c>
      <c r="D4" s="16" t="s">
        <v>462</v>
      </c>
      <c r="E4" s="25">
        <v>300.0</v>
      </c>
      <c r="F4" s="16" t="s">
        <v>463</v>
      </c>
      <c r="G4" s="16" t="s">
        <v>464</v>
      </c>
      <c r="H4" s="16" t="s">
        <v>465</v>
      </c>
    </row>
    <row r="5" ht="15.0" customHeight="1">
      <c r="A5" s="17" t="s">
        <v>466</v>
      </c>
      <c r="B5" s="16" t="s">
        <v>467</v>
      </c>
      <c r="C5" s="16" t="s">
        <v>461</v>
      </c>
      <c r="D5" s="16" t="s">
        <v>468</v>
      </c>
      <c r="E5" s="25">
        <v>1100.0</v>
      </c>
      <c r="F5" s="16" t="s">
        <v>463</v>
      </c>
      <c r="G5" s="16" t="s">
        <v>464</v>
      </c>
      <c r="H5" s="16" t="s">
        <v>469</v>
      </c>
    </row>
    <row r="6" ht="15.0" customHeight="1">
      <c r="A6" s="17" t="s">
        <v>470</v>
      </c>
      <c r="B6" s="16" t="s">
        <v>471</v>
      </c>
      <c r="C6" s="16" t="s">
        <v>461</v>
      </c>
      <c r="D6" s="16" t="s">
        <v>468</v>
      </c>
      <c r="E6" s="25">
        <v>2800.0</v>
      </c>
      <c r="F6" s="16" t="s">
        <v>463</v>
      </c>
      <c r="G6" s="16" t="s">
        <v>464</v>
      </c>
      <c r="H6" s="16" t="s">
        <v>469</v>
      </c>
    </row>
    <row r="7" ht="15.0" customHeight="1">
      <c r="A7" s="17" t="s">
        <v>472</v>
      </c>
      <c r="B7" s="16" t="s">
        <v>473</v>
      </c>
      <c r="C7" s="16" t="s">
        <v>461</v>
      </c>
      <c r="D7" s="16" t="s">
        <v>468</v>
      </c>
      <c r="E7" s="25">
        <v>12500.0</v>
      </c>
      <c r="F7" s="16" t="s">
        <v>463</v>
      </c>
      <c r="G7" s="16" t="s">
        <v>464</v>
      </c>
      <c r="H7" s="16" t="s">
        <v>469</v>
      </c>
    </row>
    <row r="8" ht="15.0" customHeight="1">
      <c r="A8" s="17" t="s">
        <v>474</v>
      </c>
      <c r="B8" s="16" t="s">
        <v>475</v>
      </c>
      <c r="C8" s="16" t="s">
        <v>461</v>
      </c>
      <c r="D8" s="16" t="s">
        <v>468</v>
      </c>
      <c r="E8" s="25">
        <v>22000.0</v>
      </c>
      <c r="F8" s="16" t="s">
        <v>463</v>
      </c>
      <c r="G8" s="16" t="s">
        <v>464</v>
      </c>
      <c r="H8" s="16" t="s">
        <v>469</v>
      </c>
    </row>
    <row r="9" ht="15.0" customHeight="1">
      <c r="A9" s="17" t="s">
        <v>476</v>
      </c>
      <c r="B9" s="16" t="s">
        <v>477</v>
      </c>
      <c r="C9" s="16" t="s">
        <v>461</v>
      </c>
      <c r="D9" s="16" t="s">
        <v>462</v>
      </c>
      <c r="E9" s="25">
        <v>2500.0</v>
      </c>
      <c r="F9" s="16" t="s">
        <v>463</v>
      </c>
      <c r="G9" s="16" t="s">
        <v>464</v>
      </c>
      <c r="H9" s="16" t="s">
        <v>469</v>
      </c>
    </row>
    <row r="10" ht="15.0" customHeight="1">
      <c r="A10" s="17" t="s">
        <v>478</v>
      </c>
      <c r="B10" s="16" t="s">
        <v>479</v>
      </c>
      <c r="C10" s="16" t="s">
        <v>461</v>
      </c>
      <c r="D10" s="16" t="s">
        <v>462</v>
      </c>
      <c r="E10" s="25">
        <v>3500.0</v>
      </c>
      <c r="F10" s="16" t="s">
        <v>463</v>
      </c>
      <c r="G10" s="16" t="s">
        <v>464</v>
      </c>
      <c r="H10" s="16" t="s">
        <v>469</v>
      </c>
    </row>
    <row r="11" ht="15.0" customHeight="1">
      <c r="A11" s="17" t="s">
        <v>480</v>
      </c>
      <c r="B11" s="16" t="s">
        <v>481</v>
      </c>
      <c r="C11" s="16" t="s">
        <v>461</v>
      </c>
      <c r="D11" s="16" t="s">
        <v>468</v>
      </c>
      <c r="E11" s="25">
        <v>15000.0</v>
      </c>
      <c r="F11" s="16" t="s">
        <v>463</v>
      </c>
      <c r="G11" s="16" t="s">
        <v>464</v>
      </c>
      <c r="H11" s="16" t="s">
        <v>469</v>
      </c>
    </row>
    <row r="12" ht="15.0" customHeight="1">
      <c r="A12" s="17" t="s">
        <v>482</v>
      </c>
      <c r="B12" s="16" t="s">
        <v>483</v>
      </c>
      <c r="C12" s="16" t="s">
        <v>461</v>
      </c>
      <c r="D12" s="16" t="s">
        <v>468</v>
      </c>
      <c r="E12" s="25">
        <v>25000.0</v>
      </c>
      <c r="F12" s="16" t="s">
        <v>463</v>
      </c>
      <c r="G12" s="16" t="s">
        <v>464</v>
      </c>
      <c r="H12" s="16" t="s">
        <v>469</v>
      </c>
    </row>
    <row r="13" ht="15.0" customHeight="1">
      <c r="A13" s="17" t="s">
        <v>484</v>
      </c>
      <c r="B13" s="16" t="s">
        <v>485</v>
      </c>
      <c r="C13" s="16" t="s">
        <v>461</v>
      </c>
      <c r="D13" s="16" t="s">
        <v>462</v>
      </c>
      <c r="E13" s="25">
        <v>5500.0</v>
      </c>
      <c r="F13" s="16" t="s">
        <v>463</v>
      </c>
      <c r="G13" s="16" t="s">
        <v>464</v>
      </c>
      <c r="H13" s="16" t="s">
        <v>469</v>
      </c>
    </row>
    <row r="14" ht="15.0" customHeight="1">
      <c r="A14" s="17" t="s">
        <v>486</v>
      </c>
      <c r="B14" s="16" t="s">
        <v>487</v>
      </c>
      <c r="C14" s="16" t="s">
        <v>461</v>
      </c>
      <c r="D14" s="16" t="s">
        <v>468</v>
      </c>
      <c r="E14" s="25">
        <v>30000.0</v>
      </c>
      <c r="F14" s="16" t="s">
        <v>463</v>
      </c>
      <c r="G14" s="16" t="s">
        <v>464</v>
      </c>
      <c r="H14" s="16" t="s">
        <v>469</v>
      </c>
    </row>
    <row r="15" ht="15.0" customHeight="1">
      <c r="A15" s="17" t="s">
        <v>488</v>
      </c>
      <c r="B15" s="16" t="s">
        <v>489</v>
      </c>
      <c r="C15" s="16" t="s">
        <v>461</v>
      </c>
      <c r="D15" s="16" t="s">
        <v>468</v>
      </c>
      <c r="E15" s="25">
        <v>47500.0</v>
      </c>
      <c r="F15" s="16" t="s">
        <v>463</v>
      </c>
      <c r="G15" s="16" t="s">
        <v>464</v>
      </c>
      <c r="H15" s="16" t="s">
        <v>469</v>
      </c>
    </row>
    <row r="16" ht="15.0" customHeight="1">
      <c r="A16" s="26" t="s">
        <v>490</v>
      </c>
      <c r="B16" s="27" t="s">
        <v>491</v>
      </c>
      <c r="C16" s="27" t="s">
        <v>492</v>
      </c>
      <c r="D16" s="27" t="s">
        <v>493</v>
      </c>
      <c r="E16" s="28">
        <v>150.0</v>
      </c>
      <c r="F16" s="27" t="s">
        <v>494</v>
      </c>
      <c r="G16" s="27" t="s">
        <v>495</v>
      </c>
      <c r="H16" s="27" t="s">
        <v>496</v>
      </c>
    </row>
    <row r="17" ht="15.0" customHeight="1">
      <c r="A17" s="17" t="s">
        <v>497</v>
      </c>
      <c r="B17" s="16" t="s">
        <v>498</v>
      </c>
      <c r="C17" s="16" t="s">
        <v>492</v>
      </c>
      <c r="D17" s="16" t="s">
        <v>493</v>
      </c>
      <c r="E17" s="25">
        <v>1500.0</v>
      </c>
      <c r="F17" s="16" t="s">
        <v>463</v>
      </c>
      <c r="G17" s="16" t="s">
        <v>464</v>
      </c>
      <c r="H17" s="16" t="s">
        <v>499</v>
      </c>
    </row>
    <row r="18" ht="15.0" customHeight="1">
      <c r="A18" s="29" t="s">
        <v>500</v>
      </c>
      <c r="B18" s="30" t="s">
        <v>501</v>
      </c>
      <c r="C18" s="30" t="s">
        <v>502</v>
      </c>
      <c r="D18" s="30" t="s">
        <v>493</v>
      </c>
      <c r="E18" s="31">
        <v>1350.0</v>
      </c>
      <c r="F18" s="30" t="s">
        <v>503</v>
      </c>
      <c r="G18" s="30" t="s">
        <v>464</v>
      </c>
      <c r="H18" s="30" t="s">
        <v>504</v>
      </c>
    </row>
    <row r="19" ht="15.0" customHeight="1">
      <c r="A19" s="29" t="s">
        <v>505</v>
      </c>
      <c r="B19" s="30" t="s">
        <v>506</v>
      </c>
      <c r="C19" s="30" t="s">
        <v>507</v>
      </c>
      <c r="D19" s="30" t="s">
        <v>508</v>
      </c>
      <c r="E19" s="31">
        <v>150.0</v>
      </c>
      <c r="F19" s="30" t="s">
        <v>503</v>
      </c>
      <c r="G19" s="30" t="s">
        <v>464</v>
      </c>
      <c r="H19" s="30" t="s">
        <v>509</v>
      </c>
    </row>
    <row r="20" ht="15.0" customHeight="1">
      <c r="A20" s="29" t="s">
        <v>510</v>
      </c>
      <c r="B20" s="30" t="s">
        <v>511</v>
      </c>
      <c r="C20" s="30" t="s">
        <v>507</v>
      </c>
      <c r="D20" s="30" t="s">
        <v>508</v>
      </c>
      <c r="E20" s="31">
        <v>150.0</v>
      </c>
      <c r="F20" s="30" t="s">
        <v>503</v>
      </c>
      <c r="G20" s="30" t="s">
        <v>464</v>
      </c>
      <c r="H20" s="30" t="s">
        <v>509</v>
      </c>
    </row>
    <row r="21" ht="15.0" customHeight="1">
      <c r="A21" s="29" t="s">
        <v>512</v>
      </c>
      <c r="B21" s="30" t="s">
        <v>513</v>
      </c>
      <c r="C21" s="30" t="s">
        <v>507</v>
      </c>
      <c r="D21" s="30" t="s">
        <v>508</v>
      </c>
      <c r="E21" s="31">
        <v>300.0</v>
      </c>
      <c r="F21" s="30" t="s">
        <v>503</v>
      </c>
      <c r="G21" s="30" t="s">
        <v>464</v>
      </c>
      <c r="H21" s="30" t="s">
        <v>509</v>
      </c>
    </row>
    <row r="22" ht="15.0" customHeight="1">
      <c r="A22" s="29" t="s">
        <v>514</v>
      </c>
      <c r="B22" s="30" t="s">
        <v>515</v>
      </c>
      <c r="C22" s="30" t="s">
        <v>507</v>
      </c>
      <c r="D22" s="30" t="s">
        <v>508</v>
      </c>
      <c r="E22" s="31">
        <v>190.0</v>
      </c>
      <c r="F22" s="30" t="s">
        <v>503</v>
      </c>
      <c r="G22" s="30" t="s">
        <v>464</v>
      </c>
      <c r="H22" s="30" t="s">
        <v>509</v>
      </c>
    </row>
    <row r="23" ht="15.0" customHeight="1">
      <c r="A23" s="29" t="s">
        <v>516</v>
      </c>
      <c r="B23" s="30" t="s">
        <v>517</v>
      </c>
      <c r="C23" s="30" t="s">
        <v>507</v>
      </c>
      <c r="D23" s="30" t="s">
        <v>508</v>
      </c>
      <c r="E23" s="31">
        <v>160.0</v>
      </c>
      <c r="F23" s="30" t="s">
        <v>503</v>
      </c>
      <c r="G23" s="30" t="s">
        <v>464</v>
      </c>
      <c r="H23" s="30" t="s">
        <v>518</v>
      </c>
    </row>
    <row r="24" ht="15.0" customHeight="1">
      <c r="A24" s="29" t="s">
        <v>519</v>
      </c>
      <c r="B24" s="30" t="s">
        <v>520</v>
      </c>
      <c r="C24" s="30" t="s">
        <v>507</v>
      </c>
      <c r="D24" s="30" t="s">
        <v>508</v>
      </c>
      <c r="E24" s="31">
        <v>320.0</v>
      </c>
      <c r="F24" s="30" t="s">
        <v>503</v>
      </c>
      <c r="G24" s="30" t="s">
        <v>464</v>
      </c>
      <c r="H24" s="30" t="s">
        <v>518</v>
      </c>
    </row>
    <row r="25" ht="15.0" customHeight="1">
      <c r="A25" s="29" t="s">
        <v>521</v>
      </c>
      <c r="B25" s="30" t="s">
        <v>522</v>
      </c>
      <c r="C25" s="30" t="s">
        <v>523</v>
      </c>
      <c r="D25" s="30" t="s">
        <v>508</v>
      </c>
      <c r="E25" s="31">
        <v>2500.0</v>
      </c>
      <c r="F25" s="30" t="s">
        <v>503</v>
      </c>
      <c r="G25" s="30" t="s">
        <v>464</v>
      </c>
      <c r="H25" s="30" t="s">
        <v>509</v>
      </c>
    </row>
    <row r="26" ht="15.0" customHeight="1">
      <c r="A26" s="29" t="s">
        <v>524</v>
      </c>
      <c r="B26" s="30" t="s">
        <v>525</v>
      </c>
      <c r="C26" s="30" t="s">
        <v>523</v>
      </c>
      <c r="D26" s="30" t="s">
        <v>508</v>
      </c>
      <c r="E26" s="31">
        <v>2500.0</v>
      </c>
      <c r="F26" s="30" t="s">
        <v>503</v>
      </c>
      <c r="G26" s="30" t="s">
        <v>464</v>
      </c>
      <c r="H26" s="30" t="s">
        <v>509</v>
      </c>
    </row>
    <row r="27" ht="15.0" customHeight="1">
      <c r="A27" s="29" t="s">
        <v>526</v>
      </c>
      <c r="B27" s="30" t="s">
        <v>527</v>
      </c>
      <c r="C27" s="30" t="s">
        <v>523</v>
      </c>
      <c r="D27" s="30" t="s">
        <v>508</v>
      </c>
      <c r="E27" s="31">
        <v>5000.0</v>
      </c>
      <c r="F27" s="30" t="s">
        <v>503</v>
      </c>
      <c r="G27" s="30" t="s">
        <v>464</v>
      </c>
      <c r="H27" s="30" t="s">
        <v>509</v>
      </c>
    </row>
    <row r="28" ht="15.0" customHeight="1">
      <c r="A28" s="29" t="s">
        <v>528</v>
      </c>
      <c r="B28" s="30" t="s">
        <v>529</v>
      </c>
      <c r="C28" s="30" t="s">
        <v>523</v>
      </c>
      <c r="D28" s="30" t="s">
        <v>508</v>
      </c>
      <c r="E28" s="31">
        <v>3000.0</v>
      </c>
      <c r="F28" s="30" t="s">
        <v>503</v>
      </c>
      <c r="G28" s="30" t="s">
        <v>464</v>
      </c>
      <c r="H28" s="30" t="s">
        <v>509</v>
      </c>
    </row>
    <row r="29" ht="15.0" customHeight="1">
      <c r="A29" s="29" t="s">
        <v>530</v>
      </c>
      <c r="B29" s="30" t="s">
        <v>531</v>
      </c>
      <c r="C29" s="30" t="s">
        <v>523</v>
      </c>
      <c r="D29" s="30" t="s">
        <v>508</v>
      </c>
      <c r="E29" s="31">
        <v>2850.0</v>
      </c>
      <c r="F29" s="30" t="s">
        <v>503</v>
      </c>
      <c r="G29" s="30" t="s">
        <v>464</v>
      </c>
      <c r="H29" s="30" t="s">
        <v>509</v>
      </c>
    </row>
    <row r="30" ht="15.0" customHeight="1">
      <c r="A30" s="29" t="s">
        <v>532</v>
      </c>
      <c r="B30" s="30" t="s">
        <v>533</v>
      </c>
      <c r="C30" s="30" t="s">
        <v>534</v>
      </c>
      <c r="D30" s="30" t="s">
        <v>535</v>
      </c>
      <c r="E30" s="31">
        <v>800.0</v>
      </c>
      <c r="F30" s="30" t="s">
        <v>536</v>
      </c>
      <c r="G30" s="30" t="s">
        <v>537</v>
      </c>
      <c r="H30" s="30" t="s">
        <v>538</v>
      </c>
    </row>
    <row r="31" ht="15.0" customHeight="1">
      <c r="A31" s="29" t="s">
        <v>539</v>
      </c>
      <c r="B31" s="30" t="s">
        <v>540</v>
      </c>
      <c r="C31" s="30" t="s">
        <v>534</v>
      </c>
      <c r="D31" s="30" t="s">
        <v>535</v>
      </c>
      <c r="E31" s="31">
        <v>800.0</v>
      </c>
      <c r="F31" s="30" t="s">
        <v>536</v>
      </c>
      <c r="G31" s="30" t="s">
        <v>537</v>
      </c>
      <c r="H31" s="30" t="s">
        <v>538</v>
      </c>
    </row>
    <row r="32" ht="15.0" customHeight="1">
      <c r="A32" s="29" t="s">
        <v>541</v>
      </c>
      <c r="B32" s="30" t="s">
        <v>542</v>
      </c>
      <c r="C32" s="30" t="s">
        <v>534</v>
      </c>
      <c r="D32" s="30" t="s">
        <v>535</v>
      </c>
      <c r="E32" s="31">
        <v>2850.0</v>
      </c>
      <c r="F32" s="30" t="s">
        <v>536</v>
      </c>
      <c r="G32" s="30" t="s">
        <v>537</v>
      </c>
      <c r="H32" s="30" t="s">
        <v>543</v>
      </c>
    </row>
    <row r="33" ht="15.0" customHeight="1">
      <c r="A33" s="29" t="s">
        <v>544</v>
      </c>
      <c r="B33" s="30" t="s">
        <v>545</v>
      </c>
      <c r="C33" s="30" t="s">
        <v>546</v>
      </c>
      <c r="D33" s="30" t="s">
        <v>547</v>
      </c>
      <c r="E33" s="31">
        <v>400.0</v>
      </c>
      <c r="F33" s="30" t="s">
        <v>536</v>
      </c>
      <c r="G33" s="30" t="s">
        <v>537</v>
      </c>
      <c r="H33" s="30" t="s">
        <v>548</v>
      </c>
    </row>
    <row r="34" ht="15.0" customHeight="1">
      <c r="A34" s="29" t="s">
        <v>549</v>
      </c>
      <c r="B34" s="30" t="s">
        <v>550</v>
      </c>
      <c r="C34" s="30" t="s">
        <v>546</v>
      </c>
      <c r="D34" s="30" t="s">
        <v>547</v>
      </c>
      <c r="E34" s="31">
        <v>450.0</v>
      </c>
      <c r="F34" s="30" t="s">
        <v>536</v>
      </c>
      <c r="G34" s="30" t="s">
        <v>537</v>
      </c>
      <c r="H34" s="30" t="s">
        <v>551</v>
      </c>
    </row>
    <row r="35" ht="15.0" customHeight="1">
      <c r="A35" s="29" t="s">
        <v>552</v>
      </c>
      <c r="B35" s="30" t="s">
        <v>553</v>
      </c>
      <c r="C35" s="30" t="s">
        <v>546</v>
      </c>
      <c r="D35" s="30" t="s">
        <v>547</v>
      </c>
      <c r="E35" s="31">
        <v>300.0</v>
      </c>
      <c r="F35" s="30" t="s">
        <v>536</v>
      </c>
      <c r="G35" s="30" t="s">
        <v>537</v>
      </c>
      <c r="H35" s="30" t="s">
        <v>551</v>
      </c>
    </row>
    <row r="36" ht="15.0" customHeight="1">
      <c r="A36" s="29" t="s">
        <v>554</v>
      </c>
      <c r="B36" s="30" t="s">
        <v>555</v>
      </c>
      <c r="C36" s="30" t="s">
        <v>546</v>
      </c>
      <c r="D36" s="30" t="s">
        <v>547</v>
      </c>
      <c r="E36" s="31">
        <v>550.0</v>
      </c>
      <c r="F36" s="30" t="s">
        <v>536</v>
      </c>
      <c r="G36" s="30" t="s">
        <v>537</v>
      </c>
      <c r="H36" s="30" t="s">
        <v>551</v>
      </c>
    </row>
    <row r="37" ht="15.0" customHeight="1">
      <c r="A37" s="29" t="s">
        <v>556</v>
      </c>
      <c r="B37" s="30" t="s">
        <v>557</v>
      </c>
      <c r="C37" s="30" t="s">
        <v>546</v>
      </c>
      <c r="D37" s="30" t="s">
        <v>547</v>
      </c>
      <c r="E37" s="31">
        <v>400.0</v>
      </c>
      <c r="F37" s="30" t="s">
        <v>536</v>
      </c>
      <c r="G37" s="30" t="s">
        <v>537</v>
      </c>
      <c r="H37" s="30" t="s">
        <v>551</v>
      </c>
    </row>
    <row r="38" ht="15.0" customHeight="1">
      <c r="A38" s="29" t="s">
        <v>558</v>
      </c>
      <c r="B38" s="30" t="s">
        <v>559</v>
      </c>
      <c r="C38" s="30" t="s">
        <v>546</v>
      </c>
      <c r="D38" s="30" t="s">
        <v>547</v>
      </c>
      <c r="E38" s="31">
        <v>550.0</v>
      </c>
      <c r="F38" s="30" t="s">
        <v>536</v>
      </c>
      <c r="G38" s="30" t="s">
        <v>537</v>
      </c>
      <c r="H38" s="30" t="s">
        <v>551</v>
      </c>
    </row>
    <row r="39" ht="15.0" customHeight="1">
      <c r="A39" s="29" t="s">
        <v>560</v>
      </c>
      <c r="B39" s="30" t="s">
        <v>561</v>
      </c>
      <c r="C39" s="30" t="s">
        <v>546</v>
      </c>
      <c r="D39" s="30" t="s">
        <v>547</v>
      </c>
      <c r="E39" s="31">
        <v>400.0</v>
      </c>
      <c r="F39" s="30" t="s">
        <v>536</v>
      </c>
      <c r="G39" s="30" t="s">
        <v>537</v>
      </c>
      <c r="H39" s="30" t="s">
        <v>551</v>
      </c>
    </row>
    <row r="40" ht="15.0" customHeight="1">
      <c r="A40" s="29" t="s">
        <v>562</v>
      </c>
      <c r="B40" s="30" t="s">
        <v>563</v>
      </c>
      <c r="C40" s="30" t="s">
        <v>546</v>
      </c>
      <c r="D40" s="30" t="s">
        <v>547</v>
      </c>
      <c r="E40" s="31">
        <v>500.0</v>
      </c>
      <c r="F40" s="30" t="s">
        <v>536</v>
      </c>
      <c r="G40" s="30" t="s">
        <v>537</v>
      </c>
      <c r="H40" s="30" t="s">
        <v>551</v>
      </c>
    </row>
    <row r="41" ht="15.0" customHeight="1">
      <c r="A41" s="29" t="s">
        <v>564</v>
      </c>
      <c r="B41" s="30" t="s">
        <v>565</v>
      </c>
      <c r="C41" s="30" t="s">
        <v>546</v>
      </c>
      <c r="D41" s="30" t="s">
        <v>547</v>
      </c>
      <c r="E41" s="31">
        <v>300.0</v>
      </c>
      <c r="F41" s="30" t="s">
        <v>536</v>
      </c>
      <c r="G41" s="30" t="s">
        <v>537</v>
      </c>
      <c r="H41" s="30" t="s">
        <v>551</v>
      </c>
    </row>
    <row r="42" ht="15.0" customHeight="1">
      <c r="A42" s="29" t="s">
        <v>566</v>
      </c>
      <c r="B42" s="30" t="s">
        <v>567</v>
      </c>
      <c r="C42" s="30" t="s">
        <v>546</v>
      </c>
      <c r="D42" s="30" t="s">
        <v>547</v>
      </c>
      <c r="E42" s="31">
        <v>350.0</v>
      </c>
      <c r="F42" s="30" t="s">
        <v>536</v>
      </c>
      <c r="G42" s="30" t="s">
        <v>537</v>
      </c>
      <c r="H42" s="30" t="s">
        <v>551</v>
      </c>
    </row>
    <row r="43" ht="15.0" customHeight="1">
      <c r="A43" s="29" t="s">
        <v>568</v>
      </c>
      <c r="B43" s="30" t="s">
        <v>569</v>
      </c>
      <c r="C43" s="30" t="s">
        <v>570</v>
      </c>
      <c r="D43" s="30" t="s">
        <v>571</v>
      </c>
      <c r="E43" s="31">
        <v>1100.0</v>
      </c>
      <c r="F43" s="30" t="s">
        <v>572</v>
      </c>
      <c r="G43" s="30" t="s">
        <v>464</v>
      </c>
      <c r="H43" s="30" t="s">
        <v>573</v>
      </c>
    </row>
    <row r="44" ht="15.0" customHeight="1">
      <c r="A44" s="29" t="s">
        <v>574</v>
      </c>
      <c r="B44" s="30" t="s">
        <v>575</v>
      </c>
      <c r="C44" s="30" t="s">
        <v>570</v>
      </c>
      <c r="D44" s="30" t="s">
        <v>571</v>
      </c>
      <c r="E44" s="31">
        <v>750.0</v>
      </c>
      <c r="F44" s="30" t="s">
        <v>572</v>
      </c>
      <c r="G44" s="30" t="s">
        <v>464</v>
      </c>
      <c r="H44" s="30" t="s">
        <v>573</v>
      </c>
    </row>
    <row r="45" ht="15.0" customHeight="1">
      <c r="A45" s="29" t="s">
        <v>576</v>
      </c>
      <c r="B45" s="30" t="s">
        <v>577</v>
      </c>
      <c r="C45" s="30" t="s">
        <v>570</v>
      </c>
      <c r="D45" s="30" t="s">
        <v>571</v>
      </c>
      <c r="E45" s="31">
        <v>450.0</v>
      </c>
      <c r="F45" s="30" t="s">
        <v>572</v>
      </c>
      <c r="G45" s="30" t="s">
        <v>464</v>
      </c>
      <c r="H45" s="30" t="s">
        <v>573</v>
      </c>
    </row>
    <row r="46" ht="15.0" customHeight="1">
      <c r="A46" s="29" t="s">
        <v>578</v>
      </c>
      <c r="B46" s="30" t="s">
        <v>579</v>
      </c>
      <c r="C46" s="30" t="s">
        <v>570</v>
      </c>
      <c r="D46" s="30" t="s">
        <v>580</v>
      </c>
      <c r="E46" s="31">
        <v>5400.0</v>
      </c>
      <c r="F46" s="30" t="s">
        <v>572</v>
      </c>
      <c r="G46" s="30" t="s">
        <v>581</v>
      </c>
      <c r="H46" s="30" t="s">
        <v>582</v>
      </c>
    </row>
    <row r="47" ht="15.0" customHeight="1">
      <c r="A47" s="26" t="s">
        <v>583</v>
      </c>
      <c r="B47" s="27" t="s">
        <v>584</v>
      </c>
      <c r="C47" s="27" t="s">
        <v>585</v>
      </c>
      <c r="D47" s="27" t="s">
        <v>586</v>
      </c>
      <c r="E47" s="28">
        <v>0.0</v>
      </c>
      <c r="F47" s="27" t="s">
        <v>587</v>
      </c>
      <c r="G47" s="27" t="s">
        <v>588</v>
      </c>
      <c r="H47" s="27" t="s">
        <v>589</v>
      </c>
    </row>
    <row r="48" ht="15.0" customHeight="1">
      <c r="A48" s="26" t="s">
        <v>590</v>
      </c>
      <c r="B48" s="27" t="s">
        <v>591</v>
      </c>
      <c r="C48" s="27" t="s">
        <v>585</v>
      </c>
      <c r="D48" s="27" t="s">
        <v>592</v>
      </c>
      <c r="E48" s="28">
        <v>0.0</v>
      </c>
      <c r="F48" s="27" t="s">
        <v>587</v>
      </c>
      <c r="G48" s="27" t="s">
        <v>588</v>
      </c>
      <c r="H48" s="27" t="s">
        <v>589</v>
      </c>
    </row>
    <row r="49" ht="15.0" customHeight="1">
      <c r="A49" s="26" t="s">
        <v>593</v>
      </c>
      <c r="B49" s="27" t="s">
        <v>594</v>
      </c>
      <c r="C49" s="27" t="s">
        <v>585</v>
      </c>
      <c r="D49" s="27" t="s">
        <v>592</v>
      </c>
      <c r="E49" s="28">
        <v>0.0</v>
      </c>
      <c r="F49" s="27" t="s">
        <v>587</v>
      </c>
      <c r="G49" s="27" t="s">
        <v>588</v>
      </c>
      <c r="H49" s="27" t="s">
        <v>589</v>
      </c>
    </row>
    <row r="50" ht="15.0" customHeight="1">
      <c r="A50" s="26" t="s">
        <v>595</v>
      </c>
      <c r="B50" s="27" t="s">
        <v>596</v>
      </c>
      <c r="C50" s="27" t="s">
        <v>585</v>
      </c>
      <c r="D50" s="27" t="s">
        <v>592</v>
      </c>
      <c r="E50" s="28">
        <v>0.0</v>
      </c>
      <c r="F50" s="27" t="s">
        <v>587</v>
      </c>
      <c r="G50" s="27" t="s">
        <v>588</v>
      </c>
      <c r="H50" s="27" t="s">
        <v>589</v>
      </c>
    </row>
    <row r="51" ht="15.0" customHeight="1">
      <c r="A51" s="26" t="s">
        <v>597</v>
      </c>
      <c r="B51" s="27" t="s">
        <v>598</v>
      </c>
      <c r="C51" s="27" t="s">
        <v>585</v>
      </c>
      <c r="D51" s="27" t="s">
        <v>592</v>
      </c>
      <c r="E51" s="28">
        <v>0.0</v>
      </c>
      <c r="F51" s="27" t="s">
        <v>587</v>
      </c>
      <c r="G51" s="27" t="s">
        <v>588</v>
      </c>
      <c r="H51" s="27" t="s">
        <v>589</v>
      </c>
    </row>
    <row r="52" ht="15.0" customHeight="1">
      <c r="A52" s="26" t="s">
        <v>599</v>
      </c>
      <c r="B52" s="27" t="s">
        <v>600</v>
      </c>
      <c r="C52" s="27" t="s">
        <v>585</v>
      </c>
      <c r="D52" s="27" t="s">
        <v>592</v>
      </c>
      <c r="E52" s="28">
        <v>0.0</v>
      </c>
      <c r="F52" s="27" t="s">
        <v>587</v>
      </c>
      <c r="G52" s="27" t="s">
        <v>588</v>
      </c>
      <c r="H52" s="27" t="s">
        <v>589</v>
      </c>
    </row>
    <row r="53" ht="15.0" customHeight="1">
      <c r="A53" s="32" t="s">
        <v>601</v>
      </c>
      <c r="B53" s="33" t="s">
        <v>602</v>
      </c>
      <c r="C53" s="33" t="s">
        <v>603</v>
      </c>
      <c r="D53" s="33" t="s">
        <v>493</v>
      </c>
      <c r="E53" s="34">
        <v>600.0</v>
      </c>
      <c r="F53" s="33" t="s">
        <v>604</v>
      </c>
      <c r="G53" s="33" t="s">
        <v>605</v>
      </c>
      <c r="H53" s="33" t="s">
        <v>606</v>
      </c>
    </row>
    <row r="54" ht="15.0" customHeight="1">
      <c r="A54" s="32" t="s">
        <v>607</v>
      </c>
      <c r="B54" s="33" t="s">
        <v>608</v>
      </c>
      <c r="C54" s="33" t="s">
        <v>603</v>
      </c>
      <c r="D54" s="33" t="s">
        <v>493</v>
      </c>
      <c r="E54" s="34">
        <v>1200.0</v>
      </c>
      <c r="F54" s="33" t="s">
        <v>604</v>
      </c>
      <c r="G54" s="33" t="s">
        <v>605</v>
      </c>
      <c r="H54" s="33" t="s">
        <v>606</v>
      </c>
    </row>
    <row r="55" ht="15.0" customHeight="1">
      <c r="A55" s="32" t="s">
        <v>609</v>
      </c>
      <c r="B55" s="33" t="s">
        <v>610</v>
      </c>
      <c r="C55" s="33" t="s">
        <v>603</v>
      </c>
      <c r="D55" s="33" t="s">
        <v>493</v>
      </c>
      <c r="E55" s="34">
        <v>500.0</v>
      </c>
      <c r="F55" s="33" t="s">
        <v>604</v>
      </c>
      <c r="G55" s="33" t="s">
        <v>605</v>
      </c>
      <c r="H55" s="33" t="s">
        <v>606</v>
      </c>
    </row>
    <row r="56" ht="15.0" customHeight="1">
      <c r="A56" s="32" t="s">
        <v>611</v>
      </c>
      <c r="B56" s="33" t="s">
        <v>612</v>
      </c>
      <c r="C56" s="33" t="s">
        <v>603</v>
      </c>
      <c r="D56" s="33" t="s">
        <v>493</v>
      </c>
      <c r="E56" s="34">
        <v>500.0</v>
      </c>
      <c r="F56" s="33" t="s">
        <v>604</v>
      </c>
      <c r="G56" s="33" t="s">
        <v>605</v>
      </c>
      <c r="H56" s="33" t="s">
        <v>606</v>
      </c>
    </row>
    <row r="57" ht="15.0" customHeight="1">
      <c r="A57" s="32" t="s">
        <v>244</v>
      </c>
      <c r="B57" s="33" t="s">
        <v>613</v>
      </c>
      <c r="C57" s="33" t="s">
        <v>410</v>
      </c>
      <c r="D57" s="33" t="s">
        <v>592</v>
      </c>
      <c r="E57" s="34">
        <v>800.0</v>
      </c>
      <c r="F57" s="33" t="s">
        <v>604</v>
      </c>
      <c r="G57" s="33" t="s">
        <v>414</v>
      </c>
      <c r="H57" s="33" t="s">
        <v>614</v>
      </c>
    </row>
    <row r="58" ht="15.0" customHeight="1">
      <c r="A58" s="32" t="s">
        <v>237</v>
      </c>
      <c r="B58" s="33" t="s">
        <v>615</v>
      </c>
      <c r="C58" s="33" t="s">
        <v>410</v>
      </c>
      <c r="D58" s="33" t="s">
        <v>592</v>
      </c>
      <c r="E58" s="34">
        <v>800.0</v>
      </c>
      <c r="F58" s="33" t="s">
        <v>604</v>
      </c>
      <c r="G58" s="33" t="s">
        <v>413</v>
      </c>
      <c r="H58" s="33" t="s">
        <v>614</v>
      </c>
    </row>
    <row r="59" ht="15.0" customHeight="1">
      <c r="A59" s="32" t="s">
        <v>616</v>
      </c>
      <c r="B59" s="33" t="s">
        <v>617</v>
      </c>
      <c r="C59" s="33" t="s">
        <v>410</v>
      </c>
      <c r="D59" s="33" t="s">
        <v>592</v>
      </c>
      <c r="E59" s="34">
        <v>800.0</v>
      </c>
      <c r="F59" s="33" t="s">
        <v>604</v>
      </c>
      <c r="G59" s="33" t="s">
        <v>605</v>
      </c>
      <c r="H59" s="33" t="s">
        <v>618</v>
      </c>
    </row>
    <row r="60" ht="15.0" customHeight="1">
      <c r="A60" s="32" t="s">
        <v>619</v>
      </c>
      <c r="B60" s="33" t="s">
        <v>620</v>
      </c>
      <c r="C60" s="33" t="s">
        <v>410</v>
      </c>
      <c r="D60" s="33" t="s">
        <v>592</v>
      </c>
      <c r="E60" s="34">
        <v>800.0</v>
      </c>
      <c r="F60" s="33" t="s">
        <v>604</v>
      </c>
      <c r="G60" s="33" t="s">
        <v>605</v>
      </c>
      <c r="H60" s="33" t="s">
        <v>606</v>
      </c>
    </row>
    <row r="61" ht="15.0" customHeight="1">
      <c r="A61" s="32" t="s">
        <v>217</v>
      </c>
      <c r="B61" s="33" t="s">
        <v>621</v>
      </c>
      <c r="C61" s="33" t="s">
        <v>410</v>
      </c>
      <c r="D61" s="33" t="s">
        <v>592</v>
      </c>
      <c r="E61" s="34">
        <v>900.0</v>
      </c>
      <c r="F61" s="33" t="s">
        <v>604</v>
      </c>
      <c r="G61" s="33" t="s">
        <v>411</v>
      </c>
      <c r="H61" s="33" t="s">
        <v>614</v>
      </c>
    </row>
    <row r="62" ht="15.0" customHeight="1">
      <c r="A62" s="32" t="s">
        <v>226</v>
      </c>
      <c r="B62" s="33" t="s">
        <v>622</v>
      </c>
      <c r="C62" s="33" t="s">
        <v>410</v>
      </c>
      <c r="D62" s="33" t="s">
        <v>592</v>
      </c>
      <c r="E62" s="34">
        <v>1525.0</v>
      </c>
      <c r="F62" s="33" t="s">
        <v>604</v>
      </c>
      <c r="G62" s="33" t="s">
        <v>412</v>
      </c>
      <c r="H62" s="33" t="s">
        <v>614</v>
      </c>
    </row>
    <row r="63" ht="15.0" customHeight="1">
      <c r="A63" s="32" t="s">
        <v>623</v>
      </c>
      <c r="B63" s="33" t="s">
        <v>624</v>
      </c>
      <c r="C63" s="33" t="s">
        <v>410</v>
      </c>
      <c r="D63" s="33" t="s">
        <v>592</v>
      </c>
      <c r="E63" s="34">
        <v>850.0</v>
      </c>
      <c r="F63" s="33" t="s">
        <v>604</v>
      </c>
      <c r="G63" s="33" t="s">
        <v>605</v>
      </c>
      <c r="H63" s="33" t="s">
        <v>606</v>
      </c>
    </row>
    <row r="64" ht="15.0" customHeight="1">
      <c r="A64" s="32" t="s">
        <v>625</v>
      </c>
      <c r="B64" s="33" t="s">
        <v>626</v>
      </c>
      <c r="C64" s="33" t="s">
        <v>410</v>
      </c>
      <c r="D64" s="33" t="s">
        <v>627</v>
      </c>
      <c r="E64" s="34">
        <v>850.0</v>
      </c>
      <c r="F64" s="33" t="s">
        <v>604</v>
      </c>
      <c r="G64" s="33" t="s">
        <v>605</v>
      </c>
      <c r="H64" s="33" t="s">
        <v>606</v>
      </c>
    </row>
    <row r="65" ht="15.0" customHeight="1">
      <c r="A65" s="32" t="s">
        <v>628</v>
      </c>
      <c r="B65" s="33" t="s">
        <v>629</v>
      </c>
      <c r="C65" s="33" t="s">
        <v>410</v>
      </c>
      <c r="D65" s="33" t="s">
        <v>627</v>
      </c>
      <c r="E65" s="34">
        <v>900.0</v>
      </c>
      <c r="F65" s="33" t="s">
        <v>604</v>
      </c>
      <c r="G65" s="33" t="s">
        <v>605</v>
      </c>
      <c r="H65" s="33" t="s">
        <v>606</v>
      </c>
    </row>
    <row r="66" ht="15.0" customHeight="1">
      <c r="A66" s="32" t="s">
        <v>630</v>
      </c>
      <c r="B66" s="33" t="s">
        <v>631</v>
      </c>
      <c r="C66" s="33" t="s">
        <v>410</v>
      </c>
      <c r="D66" s="33" t="s">
        <v>592</v>
      </c>
      <c r="E66" s="34">
        <v>850.0</v>
      </c>
      <c r="F66" s="33" t="s">
        <v>604</v>
      </c>
      <c r="G66" s="33" t="s">
        <v>605</v>
      </c>
      <c r="H66" s="33" t="s">
        <v>606</v>
      </c>
    </row>
    <row r="67" ht="15.0" customHeight="1">
      <c r="A67" s="32" t="s">
        <v>632</v>
      </c>
      <c r="B67" s="33" t="s">
        <v>633</v>
      </c>
      <c r="C67" s="33" t="s">
        <v>410</v>
      </c>
      <c r="D67" s="33" t="s">
        <v>592</v>
      </c>
      <c r="E67" s="34">
        <v>820.0</v>
      </c>
      <c r="F67" s="33" t="s">
        <v>604</v>
      </c>
      <c r="G67" s="33" t="s">
        <v>605</v>
      </c>
      <c r="H67" s="33" t="s">
        <v>606</v>
      </c>
    </row>
    <row r="68" ht="15.0" customHeight="1">
      <c r="A68" s="32" t="s">
        <v>269</v>
      </c>
      <c r="B68" s="33" t="s">
        <v>634</v>
      </c>
      <c r="C68" s="33" t="s">
        <v>410</v>
      </c>
      <c r="D68" s="33" t="s">
        <v>493</v>
      </c>
      <c r="E68" s="34">
        <v>850.0</v>
      </c>
      <c r="F68" s="33" t="s">
        <v>604</v>
      </c>
      <c r="G68" s="33" t="s">
        <v>635</v>
      </c>
      <c r="H68" s="33" t="s">
        <v>614</v>
      </c>
    </row>
    <row r="69" ht="15.0" customHeight="1">
      <c r="A69" s="32" t="s">
        <v>275</v>
      </c>
      <c r="B69" s="33" t="s">
        <v>276</v>
      </c>
      <c r="C69" s="33" t="s">
        <v>410</v>
      </c>
      <c r="D69" s="33" t="s">
        <v>493</v>
      </c>
      <c r="E69" s="34">
        <v>950.0</v>
      </c>
      <c r="F69" s="33" t="s">
        <v>604</v>
      </c>
      <c r="G69" s="33" t="s">
        <v>636</v>
      </c>
      <c r="H69" s="33" t="s">
        <v>614</v>
      </c>
    </row>
    <row r="70" ht="15.0" customHeight="1">
      <c r="A70" s="32" t="s">
        <v>637</v>
      </c>
      <c r="B70" s="33" t="s">
        <v>638</v>
      </c>
      <c r="C70" s="33" t="s">
        <v>410</v>
      </c>
      <c r="D70" s="33" t="s">
        <v>493</v>
      </c>
      <c r="E70" s="34">
        <v>900.0</v>
      </c>
      <c r="F70" s="33" t="s">
        <v>604</v>
      </c>
      <c r="G70" s="33" t="s">
        <v>639</v>
      </c>
      <c r="H70" s="33" t="s">
        <v>640</v>
      </c>
    </row>
    <row r="71" ht="15.0" customHeight="1">
      <c r="A71" s="32" t="s">
        <v>257</v>
      </c>
      <c r="B71" s="33" t="s">
        <v>641</v>
      </c>
      <c r="C71" s="33" t="s">
        <v>410</v>
      </c>
      <c r="D71" s="33" t="s">
        <v>592</v>
      </c>
      <c r="E71" s="34">
        <v>900.0</v>
      </c>
      <c r="F71" s="33" t="s">
        <v>604</v>
      </c>
      <c r="G71" s="33" t="s">
        <v>416</v>
      </c>
      <c r="H71" s="33" t="s">
        <v>614</v>
      </c>
    </row>
    <row r="72" ht="15.0" customHeight="1">
      <c r="A72" s="32" t="s">
        <v>642</v>
      </c>
      <c r="B72" s="33" t="s">
        <v>643</v>
      </c>
      <c r="C72" s="33" t="s">
        <v>410</v>
      </c>
      <c r="D72" s="33" t="s">
        <v>493</v>
      </c>
      <c r="E72" s="34">
        <v>3850.0</v>
      </c>
      <c r="F72" s="33" t="s">
        <v>604</v>
      </c>
      <c r="G72" s="33" t="s">
        <v>605</v>
      </c>
      <c r="H72" s="33" t="s">
        <v>644</v>
      </c>
    </row>
    <row r="73" ht="15.0" customHeight="1">
      <c r="A73" s="32" t="s">
        <v>645</v>
      </c>
      <c r="B73" s="33" t="s">
        <v>646</v>
      </c>
      <c r="C73" s="33" t="s">
        <v>410</v>
      </c>
      <c r="D73" s="33" t="s">
        <v>493</v>
      </c>
      <c r="E73" s="34">
        <v>6900.0</v>
      </c>
      <c r="F73" s="33" t="s">
        <v>604</v>
      </c>
      <c r="G73" s="33" t="s">
        <v>605</v>
      </c>
      <c r="H73" s="33" t="s">
        <v>644</v>
      </c>
    </row>
    <row r="74" ht="15.0" customHeight="1">
      <c r="A74" s="32" t="s">
        <v>647</v>
      </c>
      <c r="B74" s="33" t="s">
        <v>648</v>
      </c>
      <c r="C74" s="33" t="s">
        <v>410</v>
      </c>
      <c r="D74" s="33" t="s">
        <v>592</v>
      </c>
      <c r="E74" s="34">
        <v>600.0</v>
      </c>
      <c r="F74" s="33" t="s">
        <v>604</v>
      </c>
      <c r="G74" s="33" t="s">
        <v>649</v>
      </c>
      <c r="H74" s="33" t="s">
        <v>650</v>
      </c>
    </row>
    <row r="75" ht="15.0" customHeight="1">
      <c r="A75" s="32" t="s">
        <v>651</v>
      </c>
      <c r="B75" s="33" t="s">
        <v>652</v>
      </c>
      <c r="C75" s="33" t="s">
        <v>410</v>
      </c>
      <c r="D75" s="33" t="s">
        <v>592</v>
      </c>
      <c r="E75" s="34">
        <v>100.0</v>
      </c>
      <c r="F75" s="33" t="s">
        <v>604</v>
      </c>
      <c r="G75" s="33" t="s">
        <v>605</v>
      </c>
      <c r="H75" s="33" t="s">
        <v>653</v>
      </c>
    </row>
    <row r="76" ht="15.0" customHeight="1">
      <c r="A76" s="32" t="s">
        <v>281</v>
      </c>
      <c r="B76" s="33" t="s">
        <v>654</v>
      </c>
      <c r="C76" s="33" t="s">
        <v>417</v>
      </c>
      <c r="D76" s="33" t="s">
        <v>592</v>
      </c>
      <c r="E76" s="34">
        <v>900.0</v>
      </c>
      <c r="F76" s="33" t="s">
        <v>604</v>
      </c>
      <c r="G76" s="33" t="s">
        <v>636</v>
      </c>
      <c r="H76" s="33" t="s">
        <v>614</v>
      </c>
    </row>
    <row r="77" ht="15.0" customHeight="1">
      <c r="A77" s="32" t="s">
        <v>262</v>
      </c>
      <c r="B77" s="33" t="s">
        <v>655</v>
      </c>
      <c r="C77" s="33" t="s">
        <v>417</v>
      </c>
      <c r="D77" s="33" t="s">
        <v>592</v>
      </c>
      <c r="E77" s="34">
        <v>1050.0</v>
      </c>
      <c r="F77" s="33" t="s">
        <v>604</v>
      </c>
      <c r="G77" s="33" t="s">
        <v>656</v>
      </c>
      <c r="H77" s="33" t="s">
        <v>614</v>
      </c>
    </row>
    <row r="78" ht="15.0" customHeight="1">
      <c r="A78" s="32" t="s">
        <v>657</v>
      </c>
      <c r="B78" s="33" t="s">
        <v>658</v>
      </c>
      <c r="C78" s="33" t="s">
        <v>417</v>
      </c>
      <c r="D78" s="33" t="s">
        <v>592</v>
      </c>
      <c r="E78" s="34">
        <v>850.0</v>
      </c>
      <c r="F78" s="33" t="s">
        <v>604</v>
      </c>
      <c r="G78" s="33" t="s">
        <v>605</v>
      </c>
      <c r="H78" s="33" t="s">
        <v>606</v>
      </c>
    </row>
    <row r="79" ht="15.0" customHeight="1">
      <c r="A79" s="32" t="s">
        <v>659</v>
      </c>
      <c r="B79" s="33" t="s">
        <v>660</v>
      </c>
      <c r="C79" s="33" t="s">
        <v>417</v>
      </c>
      <c r="D79" s="33" t="s">
        <v>661</v>
      </c>
      <c r="E79" s="34">
        <v>2300.0</v>
      </c>
      <c r="F79" s="33" t="s">
        <v>604</v>
      </c>
      <c r="G79" s="33" t="s">
        <v>662</v>
      </c>
      <c r="H79" s="33" t="s">
        <v>663</v>
      </c>
    </row>
    <row r="80" ht="15.0" customHeight="1">
      <c r="A80" s="32" t="s">
        <v>351</v>
      </c>
      <c r="B80" s="33" t="s">
        <v>664</v>
      </c>
      <c r="C80" s="33" t="s">
        <v>436</v>
      </c>
      <c r="D80" s="33" t="s">
        <v>94</v>
      </c>
      <c r="E80" s="34">
        <v>650.0</v>
      </c>
      <c r="F80" s="33" t="s">
        <v>604</v>
      </c>
      <c r="G80" s="33" t="s">
        <v>636</v>
      </c>
      <c r="H80" s="33" t="s">
        <v>614</v>
      </c>
    </row>
    <row r="81" ht="15.0" customHeight="1">
      <c r="A81" s="32" t="s">
        <v>665</v>
      </c>
      <c r="B81" s="33" t="s">
        <v>666</v>
      </c>
      <c r="C81" s="33" t="s">
        <v>436</v>
      </c>
      <c r="D81" s="33" t="s">
        <v>94</v>
      </c>
      <c r="E81" s="34">
        <v>1000.0</v>
      </c>
      <c r="F81" s="33" t="s">
        <v>604</v>
      </c>
      <c r="G81" s="33" t="s">
        <v>667</v>
      </c>
      <c r="H81" s="33" t="s">
        <v>668</v>
      </c>
    </row>
    <row r="82" ht="15.0" customHeight="1">
      <c r="A82" s="32" t="s">
        <v>357</v>
      </c>
      <c r="B82" s="33" t="s">
        <v>669</v>
      </c>
      <c r="C82" s="33" t="s">
        <v>436</v>
      </c>
      <c r="D82" s="33" t="s">
        <v>94</v>
      </c>
      <c r="E82" s="34">
        <v>1150.0</v>
      </c>
      <c r="F82" s="33" t="s">
        <v>604</v>
      </c>
      <c r="G82" s="33" t="s">
        <v>636</v>
      </c>
      <c r="H82" s="33" t="s">
        <v>614</v>
      </c>
    </row>
    <row r="83" ht="15.0" customHeight="1">
      <c r="A83" s="32" t="s">
        <v>670</v>
      </c>
      <c r="B83" s="33" t="s">
        <v>671</v>
      </c>
      <c r="C83" s="33" t="s">
        <v>436</v>
      </c>
      <c r="D83" s="33" t="s">
        <v>94</v>
      </c>
      <c r="E83" s="34">
        <v>750.0</v>
      </c>
      <c r="F83" s="33" t="s">
        <v>604</v>
      </c>
      <c r="G83" s="33" t="s">
        <v>605</v>
      </c>
      <c r="H83" s="33" t="s">
        <v>672</v>
      </c>
    </row>
    <row r="84" ht="15.0" customHeight="1">
      <c r="A84" s="32" t="s">
        <v>673</v>
      </c>
      <c r="B84" s="33" t="s">
        <v>674</v>
      </c>
      <c r="C84" s="33" t="s">
        <v>436</v>
      </c>
      <c r="D84" s="33" t="s">
        <v>94</v>
      </c>
      <c r="E84" s="34">
        <v>1050.0</v>
      </c>
      <c r="F84" s="33" t="s">
        <v>604</v>
      </c>
      <c r="G84" s="33" t="s">
        <v>667</v>
      </c>
      <c r="H84" s="33" t="s">
        <v>668</v>
      </c>
    </row>
    <row r="85" ht="15.0" customHeight="1">
      <c r="A85" s="32" t="s">
        <v>675</v>
      </c>
      <c r="B85" s="33" t="s">
        <v>676</v>
      </c>
      <c r="C85" s="33" t="s">
        <v>436</v>
      </c>
      <c r="D85" s="33" t="s">
        <v>94</v>
      </c>
      <c r="E85" s="34">
        <v>1900.0</v>
      </c>
      <c r="F85" s="33" t="s">
        <v>604</v>
      </c>
      <c r="G85" s="33" t="s">
        <v>662</v>
      </c>
      <c r="H85" s="33" t="s">
        <v>677</v>
      </c>
    </row>
    <row r="86" ht="15.0" customHeight="1">
      <c r="A86" s="32" t="s">
        <v>678</v>
      </c>
      <c r="B86" s="33" t="s">
        <v>679</v>
      </c>
      <c r="C86" s="33" t="s">
        <v>426</v>
      </c>
      <c r="D86" s="33" t="s">
        <v>314</v>
      </c>
      <c r="E86" s="34">
        <v>700.0</v>
      </c>
      <c r="F86" s="33" t="s">
        <v>680</v>
      </c>
      <c r="G86" s="33" t="s">
        <v>681</v>
      </c>
      <c r="H86" s="33" t="s">
        <v>682</v>
      </c>
    </row>
    <row r="87" ht="15.0" customHeight="1">
      <c r="A87" s="32" t="s">
        <v>683</v>
      </c>
      <c r="B87" s="33" t="s">
        <v>684</v>
      </c>
      <c r="C87" s="33" t="s">
        <v>426</v>
      </c>
      <c r="D87" s="33" t="s">
        <v>314</v>
      </c>
      <c r="E87" s="34">
        <v>1000.0</v>
      </c>
      <c r="F87" s="33" t="s">
        <v>680</v>
      </c>
      <c r="G87" s="33" t="s">
        <v>681</v>
      </c>
      <c r="H87" s="33" t="s">
        <v>682</v>
      </c>
    </row>
    <row r="88" ht="15.0" customHeight="1">
      <c r="A88" s="32" t="s">
        <v>309</v>
      </c>
      <c r="B88" s="33" t="s">
        <v>685</v>
      </c>
      <c r="C88" s="33" t="s">
        <v>426</v>
      </c>
      <c r="D88" s="33" t="s">
        <v>314</v>
      </c>
      <c r="E88" s="34">
        <v>1200.0</v>
      </c>
      <c r="F88" s="33" t="s">
        <v>604</v>
      </c>
      <c r="G88" s="33" t="s">
        <v>636</v>
      </c>
      <c r="H88" s="33" t="s">
        <v>686</v>
      </c>
    </row>
    <row r="89" ht="15.0" customHeight="1">
      <c r="A89" s="32" t="s">
        <v>331</v>
      </c>
      <c r="B89" s="33" t="s">
        <v>687</v>
      </c>
      <c r="C89" s="33" t="s">
        <v>426</v>
      </c>
      <c r="D89" s="33" t="s">
        <v>314</v>
      </c>
      <c r="E89" s="34">
        <v>1500.0</v>
      </c>
      <c r="F89" s="33" t="s">
        <v>604</v>
      </c>
      <c r="G89" s="33" t="s">
        <v>605</v>
      </c>
      <c r="H89" s="33" t="s">
        <v>614</v>
      </c>
    </row>
    <row r="90" ht="15.0" customHeight="1">
      <c r="A90" s="32" t="s">
        <v>315</v>
      </c>
      <c r="B90" s="33" t="s">
        <v>688</v>
      </c>
      <c r="C90" s="33" t="s">
        <v>426</v>
      </c>
      <c r="D90" s="33" t="s">
        <v>314</v>
      </c>
      <c r="E90" s="34">
        <v>1600.0</v>
      </c>
      <c r="F90" s="33" t="s">
        <v>604</v>
      </c>
      <c r="G90" s="33" t="s">
        <v>636</v>
      </c>
      <c r="H90" s="33" t="s">
        <v>614</v>
      </c>
    </row>
    <row r="91" ht="15.0" customHeight="1">
      <c r="A91" s="32" t="s">
        <v>320</v>
      </c>
      <c r="B91" s="33" t="s">
        <v>689</v>
      </c>
      <c r="C91" s="33" t="s">
        <v>426</v>
      </c>
      <c r="D91" s="33" t="s">
        <v>314</v>
      </c>
      <c r="E91" s="34">
        <v>1600.0</v>
      </c>
      <c r="F91" s="33" t="s">
        <v>604</v>
      </c>
      <c r="G91" s="33" t="s">
        <v>636</v>
      </c>
      <c r="H91" s="33" t="s">
        <v>614</v>
      </c>
    </row>
    <row r="92" ht="15.0" customHeight="1">
      <c r="A92" s="32" t="s">
        <v>325</v>
      </c>
      <c r="B92" s="33" t="s">
        <v>690</v>
      </c>
      <c r="C92" s="33" t="s">
        <v>426</v>
      </c>
      <c r="D92" s="33" t="s">
        <v>314</v>
      </c>
      <c r="E92" s="34">
        <v>2000.0</v>
      </c>
      <c r="F92" s="33" t="s">
        <v>604</v>
      </c>
      <c r="G92" s="33" t="s">
        <v>636</v>
      </c>
      <c r="H92" s="33" t="s">
        <v>614</v>
      </c>
    </row>
    <row r="93" ht="15.0" customHeight="1">
      <c r="A93" s="32" t="s">
        <v>334</v>
      </c>
      <c r="B93" s="33" t="s">
        <v>691</v>
      </c>
      <c r="C93" s="33" t="s">
        <v>426</v>
      </c>
      <c r="D93" s="33" t="s">
        <v>314</v>
      </c>
      <c r="E93" s="34">
        <v>1800.0</v>
      </c>
      <c r="F93" s="33" t="s">
        <v>604</v>
      </c>
      <c r="G93" s="33" t="s">
        <v>605</v>
      </c>
      <c r="H93" s="33" t="s">
        <v>614</v>
      </c>
    </row>
    <row r="94" ht="15.0" customHeight="1">
      <c r="A94" s="32" t="s">
        <v>692</v>
      </c>
      <c r="B94" s="33" t="s">
        <v>693</v>
      </c>
      <c r="C94" s="33" t="s">
        <v>694</v>
      </c>
      <c r="D94" s="33" t="s">
        <v>695</v>
      </c>
      <c r="E94" s="34">
        <v>550.0</v>
      </c>
      <c r="F94" s="33" t="s">
        <v>604</v>
      </c>
      <c r="G94" s="33" t="s">
        <v>605</v>
      </c>
      <c r="H94" s="33" t="s">
        <v>696</v>
      </c>
    </row>
    <row r="95" ht="15.0" customHeight="1">
      <c r="A95" s="32" t="s">
        <v>697</v>
      </c>
      <c r="B95" s="33" t="s">
        <v>698</v>
      </c>
      <c r="C95" s="33" t="s">
        <v>694</v>
      </c>
      <c r="D95" s="33" t="s">
        <v>695</v>
      </c>
      <c r="E95" s="34">
        <v>950.0</v>
      </c>
      <c r="F95" s="33" t="s">
        <v>604</v>
      </c>
      <c r="G95" s="33" t="s">
        <v>605</v>
      </c>
      <c r="H95" s="33" t="s">
        <v>606</v>
      </c>
    </row>
    <row r="96" ht="15.0" customHeight="1">
      <c r="A96" s="32" t="s">
        <v>296</v>
      </c>
      <c r="B96" s="33" t="s">
        <v>699</v>
      </c>
      <c r="C96" s="33" t="s">
        <v>422</v>
      </c>
      <c r="D96" s="33" t="s">
        <v>94</v>
      </c>
      <c r="E96" s="34">
        <v>900.0</v>
      </c>
      <c r="F96" s="33" t="s">
        <v>604</v>
      </c>
      <c r="G96" s="33" t="s">
        <v>636</v>
      </c>
      <c r="H96" s="33" t="s">
        <v>614</v>
      </c>
    </row>
    <row r="97" ht="15.0" customHeight="1">
      <c r="A97" s="32" t="s">
        <v>288</v>
      </c>
      <c r="B97" s="33" t="s">
        <v>289</v>
      </c>
      <c r="C97" s="33" t="s">
        <v>422</v>
      </c>
      <c r="D97" s="33" t="s">
        <v>94</v>
      </c>
      <c r="E97" s="34">
        <v>800.0</v>
      </c>
      <c r="F97" s="33" t="s">
        <v>604</v>
      </c>
      <c r="G97" s="33" t="s">
        <v>636</v>
      </c>
      <c r="H97" s="33" t="s">
        <v>614</v>
      </c>
    </row>
    <row r="98" ht="15.0" customHeight="1">
      <c r="A98" s="32" t="s">
        <v>303</v>
      </c>
      <c r="B98" s="33" t="s">
        <v>304</v>
      </c>
      <c r="C98" s="33" t="s">
        <v>422</v>
      </c>
      <c r="D98" s="33" t="s">
        <v>592</v>
      </c>
      <c r="E98" s="34">
        <v>900.0</v>
      </c>
      <c r="F98" s="33" t="s">
        <v>604</v>
      </c>
      <c r="G98" s="33" t="s">
        <v>636</v>
      </c>
      <c r="H98" s="33" t="s">
        <v>614</v>
      </c>
    </row>
    <row r="99" ht="15.0" customHeight="1">
      <c r="A99" s="26" t="s">
        <v>700</v>
      </c>
      <c r="B99" s="27" t="s">
        <v>701</v>
      </c>
      <c r="C99" s="27" t="s">
        <v>492</v>
      </c>
      <c r="D99" s="27" t="s">
        <v>702</v>
      </c>
      <c r="E99" s="28">
        <v>200.0</v>
      </c>
      <c r="F99" s="27" t="s">
        <v>494</v>
      </c>
      <c r="G99" s="27" t="s">
        <v>703</v>
      </c>
      <c r="H99" s="27" t="s">
        <v>704</v>
      </c>
    </row>
    <row r="100" ht="15.0" customHeight="1">
      <c r="A100" s="32" t="s">
        <v>338</v>
      </c>
      <c r="B100" s="33" t="s">
        <v>705</v>
      </c>
      <c r="C100" s="33" t="s">
        <v>433</v>
      </c>
      <c r="D100" s="33" t="s">
        <v>586</v>
      </c>
      <c r="E100" s="34">
        <v>250.0</v>
      </c>
      <c r="F100" s="33" t="s">
        <v>604</v>
      </c>
      <c r="G100" s="33" t="s">
        <v>636</v>
      </c>
      <c r="H100" s="33" t="s">
        <v>614</v>
      </c>
    </row>
    <row r="101" ht="15.0" customHeight="1">
      <c r="A101" s="32" t="s">
        <v>344</v>
      </c>
      <c r="B101" s="33" t="s">
        <v>706</v>
      </c>
      <c r="C101" s="33" t="s">
        <v>433</v>
      </c>
      <c r="D101" s="33" t="s">
        <v>94</v>
      </c>
      <c r="E101" s="34">
        <v>500.0</v>
      </c>
      <c r="F101" s="33" t="s">
        <v>604</v>
      </c>
      <c r="G101" s="33" t="s">
        <v>636</v>
      </c>
      <c r="H101" s="33" t="s">
        <v>614</v>
      </c>
    </row>
    <row r="102" ht="15.0" customHeight="1">
      <c r="A102" s="32" t="s">
        <v>707</v>
      </c>
      <c r="B102" s="33" t="s">
        <v>708</v>
      </c>
      <c r="C102" s="33" t="s">
        <v>433</v>
      </c>
      <c r="D102" s="33" t="s">
        <v>592</v>
      </c>
      <c r="E102" s="34">
        <v>350.0</v>
      </c>
      <c r="F102" s="33" t="s">
        <v>604</v>
      </c>
      <c r="G102" s="33" t="s">
        <v>709</v>
      </c>
      <c r="H102" s="33" t="s">
        <v>710</v>
      </c>
    </row>
    <row r="103" ht="15.0" customHeight="1">
      <c r="A103" s="32" t="s">
        <v>711</v>
      </c>
      <c r="B103" s="33" t="s">
        <v>712</v>
      </c>
      <c r="C103" s="33" t="s">
        <v>433</v>
      </c>
      <c r="D103" s="33" t="s">
        <v>592</v>
      </c>
      <c r="E103" s="34">
        <v>400.0</v>
      </c>
      <c r="F103" s="33" t="s">
        <v>604</v>
      </c>
      <c r="G103" s="33" t="s">
        <v>605</v>
      </c>
      <c r="H103" s="33" t="s">
        <v>713</v>
      </c>
    </row>
    <row r="104" ht="15.0" customHeight="1">
      <c r="A104" s="32" t="s">
        <v>714</v>
      </c>
      <c r="B104" s="33" t="s">
        <v>715</v>
      </c>
      <c r="C104" s="33" t="s">
        <v>433</v>
      </c>
      <c r="D104" s="33" t="s">
        <v>586</v>
      </c>
      <c r="E104" s="34">
        <v>220.0</v>
      </c>
      <c r="F104" s="33" t="s">
        <v>604</v>
      </c>
      <c r="G104" s="33" t="s">
        <v>716</v>
      </c>
      <c r="H104" s="33" t="s">
        <v>717</v>
      </c>
    </row>
    <row r="105" ht="15.0" customHeight="1">
      <c r="A105" s="32" t="s">
        <v>718</v>
      </c>
      <c r="B105" s="33" t="s">
        <v>719</v>
      </c>
      <c r="C105" s="33" t="s">
        <v>433</v>
      </c>
      <c r="D105" s="33" t="s">
        <v>702</v>
      </c>
      <c r="E105" s="34">
        <v>350.0</v>
      </c>
      <c r="F105" s="33" t="s">
        <v>604</v>
      </c>
      <c r="G105" s="33" t="s">
        <v>605</v>
      </c>
      <c r="H105" s="33" t="s">
        <v>720</v>
      </c>
    </row>
    <row r="106" ht="15.0" customHeight="1">
      <c r="A106" s="32" t="s">
        <v>721</v>
      </c>
      <c r="B106" s="33" t="s">
        <v>722</v>
      </c>
      <c r="C106" s="33" t="s">
        <v>433</v>
      </c>
      <c r="D106" s="33" t="s">
        <v>592</v>
      </c>
      <c r="E106" s="34">
        <v>400.0</v>
      </c>
      <c r="F106" s="33" t="s">
        <v>604</v>
      </c>
      <c r="G106" s="33" t="s">
        <v>605</v>
      </c>
      <c r="H106" s="33" t="s">
        <v>723</v>
      </c>
    </row>
    <row r="107" ht="15.0" customHeight="1">
      <c r="A107" s="26" t="s">
        <v>724</v>
      </c>
      <c r="B107" s="27" t="s">
        <v>725</v>
      </c>
      <c r="C107" s="27" t="s">
        <v>492</v>
      </c>
      <c r="D107" s="27" t="s">
        <v>592</v>
      </c>
      <c r="E107" s="28">
        <v>80.0</v>
      </c>
      <c r="F107" s="27" t="s">
        <v>494</v>
      </c>
      <c r="G107" s="27" t="s">
        <v>725</v>
      </c>
      <c r="H107" s="27" t="s">
        <v>726</v>
      </c>
    </row>
    <row r="108" ht="15.0" customHeight="1">
      <c r="A108" s="32" t="s">
        <v>360</v>
      </c>
      <c r="B108" s="33" t="s">
        <v>727</v>
      </c>
      <c r="C108" s="33" t="s">
        <v>439</v>
      </c>
      <c r="D108" s="33" t="s">
        <v>728</v>
      </c>
      <c r="E108" s="34">
        <v>350.0</v>
      </c>
      <c r="F108" s="33" t="s">
        <v>604</v>
      </c>
      <c r="G108" s="33" t="s">
        <v>605</v>
      </c>
      <c r="H108" s="33" t="s">
        <v>614</v>
      </c>
    </row>
    <row r="109" ht="15.0" customHeight="1">
      <c r="A109" s="32" t="s">
        <v>364</v>
      </c>
      <c r="B109" s="33" t="s">
        <v>729</v>
      </c>
      <c r="C109" s="33" t="s">
        <v>439</v>
      </c>
      <c r="D109" s="33" t="s">
        <v>728</v>
      </c>
      <c r="E109" s="34">
        <v>250.0</v>
      </c>
      <c r="F109" s="33" t="s">
        <v>604</v>
      </c>
      <c r="G109" s="33" t="s">
        <v>605</v>
      </c>
      <c r="H109" s="33" t="s">
        <v>614</v>
      </c>
    </row>
    <row r="110" ht="15.0" customHeight="1">
      <c r="A110" s="32" t="s">
        <v>366</v>
      </c>
      <c r="B110" s="33" t="s">
        <v>730</v>
      </c>
      <c r="C110" s="33" t="s">
        <v>439</v>
      </c>
      <c r="D110" s="33" t="s">
        <v>728</v>
      </c>
      <c r="E110" s="34">
        <v>400.0</v>
      </c>
      <c r="F110" s="33" t="s">
        <v>680</v>
      </c>
      <c r="G110" s="33" t="s">
        <v>605</v>
      </c>
      <c r="H110" s="33" t="s">
        <v>731</v>
      </c>
    </row>
    <row r="111" ht="15.0" customHeight="1">
      <c r="A111" s="26" t="s">
        <v>732</v>
      </c>
      <c r="B111" s="27" t="s">
        <v>733</v>
      </c>
      <c r="C111" s="27" t="s">
        <v>492</v>
      </c>
      <c r="D111" s="27" t="s">
        <v>702</v>
      </c>
      <c r="E111" s="28">
        <v>200.0</v>
      </c>
      <c r="F111" s="27" t="s">
        <v>494</v>
      </c>
      <c r="G111" s="27" t="s">
        <v>703</v>
      </c>
      <c r="H111" s="27" t="s">
        <v>734</v>
      </c>
    </row>
    <row r="112" ht="15.0" customHeight="1">
      <c r="A112" s="32" t="s">
        <v>369</v>
      </c>
      <c r="B112" s="33" t="s">
        <v>735</v>
      </c>
      <c r="C112" s="33" t="s">
        <v>442</v>
      </c>
      <c r="D112" s="33" t="s">
        <v>736</v>
      </c>
      <c r="E112" s="34">
        <v>320.0</v>
      </c>
      <c r="F112" s="33" t="s">
        <v>604</v>
      </c>
      <c r="G112" s="33" t="s">
        <v>605</v>
      </c>
      <c r="H112" s="33" t="s">
        <v>614</v>
      </c>
    </row>
    <row r="113" ht="15.0" customHeight="1">
      <c r="A113" s="26" t="s">
        <v>737</v>
      </c>
      <c r="B113" s="27" t="s">
        <v>738</v>
      </c>
      <c r="C113" s="27" t="s">
        <v>492</v>
      </c>
      <c r="D113" s="27" t="s">
        <v>547</v>
      </c>
      <c r="E113" s="28">
        <v>60.0</v>
      </c>
      <c r="F113" s="27" t="s">
        <v>494</v>
      </c>
      <c r="G113" s="27" t="s">
        <v>703</v>
      </c>
      <c r="H113" s="27" t="s">
        <v>739</v>
      </c>
    </row>
    <row r="114" ht="15.0" customHeight="1">
      <c r="A114" s="26" t="s">
        <v>740</v>
      </c>
      <c r="B114" s="27" t="s">
        <v>741</v>
      </c>
      <c r="C114" s="27" t="s">
        <v>492</v>
      </c>
      <c r="D114" s="27" t="s">
        <v>702</v>
      </c>
      <c r="E114" s="28">
        <v>150.0</v>
      </c>
      <c r="F114" s="27" t="s">
        <v>494</v>
      </c>
      <c r="G114" s="27" t="s">
        <v>742</v>
      </c>
      <c r="H114" s="27" t="s">
        <v>743</v>
      </c>
    </row>
    <row r="115" ht="15.0" customHeight="1">
      <c r="A115" s="32" t="s">
        <v>374</v>
      </c>
      <c r="B115" s="33" t="s">
        <v>744</v>
      </c>
      <c r="C115" s="33" t="s">
        <v>443</v>
      </c>
      <c r="D115" s="33" t="s">
        <v>535</v>
      </c>
      <c r="E115" s="34">
        <v>400.0</v>
      </c>
      <c r="F115" s="33" t="s">
        <v>604</v>
      </c>
      <c r="G115" s="33" t="s">
        <v>605</v>
      </c>
      <c r="H115" s="33" t="s">
        <v>614</v>
      </c>
    </row>
    <row r="116" ht="15.0" customHeight="1">
      <c r="A116" s="32" t="s">
        <v>378</v>
      </c>
      <c r="B116" s="33" t="s">
        <v>745</v>
      </c>
      <c r="C116" s="33" t="s">
        <v>444</v>
      </c>
      <c r="D116" s="33" t="s">
        <v>535</v>
      </c>
      <c r="E116" s="34">
        <v>400.0</v>
      </c>
      <c r="F116" s="33" t="s">
        <v>604</v>
      </c>
      <c r="G116" s="33" t="s">
        <v>605</v>
      </c>
      <c r="H116" s="33" t="s">
        <v>614</v>
      </c>
    </row>
    <row r="117" ht="15.0" customHeight="1">
      <c r="A117" s="32" t="s">
        <v>382</v>
      </c>
      <c r="B117" s="33" t="s">
        <v>383</v>
      </c>
      <c r="C117" s="33" t="s">
        <v>445</v>
      </c>
      <c r="D117" s="33" t="s">
        <v>535</v>
      </c>
      <c r="E117" s="34">
        <v>750.0</v>
      </c>
      <c r="F117" s="33" t="s">
        <v>604</v>
      </c>
      <c r="G117" s="33" t="s">
        <v>605</v>
      </c>
      <c r="H117" s="33" t="s">
        <v>614</v>
      </c>
    </row>
    <row r="118" ht="15.0" customHeight="1">
      <c r="A118" s="32" t="s">
        <v>387</v>
      </c>
      <c r="B118" s="33" t="s">
        <v>746</v>
      </c>
      <c r="C118" s="33" t="s">
        <v>447</v>
      </c>
      <c r="D118" s="33" t="s">
        <v>535</v>
      </c>
      <c r="E118" s="34">
        <v>450.0</v>
      </c>
      <c r="F118" s="33" t="s">
        <v>604</v>
      </c>
      <c r="G118" s="33" t="s">
        <v>605</v>
      </c>
      <c r="H118" s="33" t="s">
        <v>614</v>
      </c>
    </row>
    <row r="119" ht="15.0" customHeight="1">
      <c r="A119" s="32" t="s">
        <v>391</v>
      </c>
      <c r="B119" s="33" t="s">
        <v>747</v>
      </c>
      <c r="C119" s="33" t="s">
        <v>448</v>
      </c>
      <c r="D119" s="33" t="s">
        <v>535</v>
      </c>
      <c r="E119" s="34">
        <v>400.0</v>
      </c>
      <c r="F119" s="33" t="s">
        <v>604</v>
      </c>
      <c r="G119" s="33" t="s">
        <v>605</v>
      </c>
      <c r="H119" s="33" t="s">
        <v>614</v>
      </c>
    </row>
    <row r="120" ht="15.0" customHeight="1">
      <c r="A120" s="32" t="s">
        <v>748</v>
      </c>
      <c r="B120" s="33" t="s">
        <v>749</v>
      </c>
      <c r="C120" s="33" t="s">
        <v>750</v>
      </c>
      <c r="D120" s="33" t="s">
        <v>535</v>
      </c>
      <c r="E120" s="34">
        <v>350.0</v>
      </c>
      <c r="F120" s="33" t="s">
        <v>604</v>
      </c>
      <c r="G120" s="33" t="s">
        <v>605</v>
      </c>
      <c r="H120" s="33" t="s">
        <v>751</v>
      </c>
    </row>
    <row r="121" ht="15.0" customHeight="1">
      <c r="A121" s="32" t="s">
        <v>395</v>
      </c>
      <c r="B121" s="33" t="s">
        <v>396</v>
      </c>
      <c r="C121" s="33" t="s">
        <v>449</v>
      </c>
      <c r="D121" s="33" t="s">
        <v>535</v>
      </c>
      <c r="E121" s="34">
        <v>950.0</v>
      </c>
      <c r="F121" s="33" t="s">
        <v>604</v>
      </c>
      <c r="G121" s="33" t="s">
        <v>605</v>
      </c>
      <c r="H121" s="33" t="s">
        <v>752</v>
      </c>
    </row>
    <row r="122" ht="15.0" customHeight="1">
      <c r="A122" s="32" t="s">
        <v>753</v>
      </c>
      <c r="B122" s="33" t="s">
        <v>754</v>
      </c>
      <c r="C122" s="33" t="s">
        <v>449</v>
      </c>
      <c r="D122" s="33" t="s">
        <v>535</v>
      </c>
      <c r="E122" s="34">
        <v>900.0</v>
      </c>
      <c r="F122" s="33" t="s">
        <v>604</v>
      </c>
      <c r="G122" s="33" t="s">
        <v>605</v>
      </c>
      <c r="H122" s="33" t="s">
        <v>752</v>
      </c>
    </row>
    <row r="123" ht="15.0" customHeight="1">
      <c r="A123" s="32" t="s">
        <v>755</v>
      </c>
      <c r="B123" s="33" t="s">
        <v>756</v>
      </c>
      <c r="C123" s="33" t="s">
        <v>449</v>
      </c>
      <c r="D123" s="33" t="s">
        <v>535</v>
      </c>
      <c r="E123" s="34">
        <v>950.0</v>
      </c>
      <c r="F123" s="33" t="s">
        <v>604</v>
      </c>
      <c r="G123" s="33" t="s">
        <v>605</v>
      </c>
      <c r="H123" s="33" t="s">
        <v>757</v>
      </c>
    </row>
    <row r="124" ht="15.0" customHeight="1">
      <c r="A124" s="32" t="s">
        <v>758</v>
      </c>
      <c r="B124" s="33" t="s">
        <v>759</v>
      </c>
      <c r="C124" s="33" t="s">
        <v>760</v>
      </c>
      <c r="D124" s="33" t="s">
        <v>592</v>
      </c>
      <c r="E124" s="34">
        <v>350.0</v>
      </c>
      <c r="F124" s="33" t="s">
        <v>604</v>
      </c>
      <c r="G124" s="33" t="s">
        <v>605</v>
      </c>
      <c r="H124" s="33" t="s">
        <v>761</v>
      </c>
    </row>
    <row r="125" ht="15.0" customHeight="1">
      <c r="A125" s="32" t="s">
        <v>762</v>
      </c>
      <c r="B125" s="33" t="s">
        <v>763</v>
      </c>
      <c r="C125" s="33" t="s">
        <v>433</v>
      </c>
      <c r="D125" s="33" t="s">
        <v>94</v>
      </c>
      <c r="E125" s="34">
        <v>1000.0</v>
      </c>
      <c r="F125" s="33" t="s">
        <v>604</v>
      </c>
      <c r="G125" s="33" t="s">
        <v>605</v>
      </c>
      <c r="H125" s="33" t="s">
        <v>764</v>
      </c>
    </row>
    <row r="126" ht="15.0" customHeight="1">
      <c r="A126" s="32" t="s">
        <v>765</v>
      </c>
      <c r="B126" s="33" t="s">
        <v>766</v>
      </c>
      <c r="C126" s="33" t="s">
        <v>767</v>
      </c>
      <c r="D126" s="33" t="s">
        <v>94</v>
      </c>
      <c r="E126" s="34">
        <v>500.0</v>
      </c>
      <c r="F126" s="33" t="s">
        <v>604</v>
      </c>
      <c r="G126" s="33" t="s">
        <v>681</v>
      </c>
      <c r="H126" s="33" t="s">
        <v>768</v>
      </c>
    </row>
    <row r="127" ht="15.0" customHeight="1">
      <c r="A127" s="32" t="s">
        <v>769</v>
      </c>
      <c r="B127" s="33" t="s">
        <v>770</v>
      </c>
      <c r="C127" s="33" t="s">
        <v>767</v>
      </c>
      <c r="D127" s="33" t="s">
        <v>535</v>
      </c>
      <c r="E127" s="34">
        <v>380.0</v>
      </c>
      <c r="F127" s="33" t="s">
        <v>604</v>
      </c>
      <c r="G127" s="33" t="s">
        <v>716</v>
      </c>
      <c r="H127" s="33" t="s">
        <v>771</v>
      </c>
    </row>
    <row r="128" ht="15.75" customHeight="1">
      <c r="A128" s="4"/>
      <c r="B128" s="4"/>
      <c r="C128" s="4"/>
      <c r="D128" s="4"/>
      <c r="E128" s="4"/>
      <c r="F128" s="4"/>
      <c r="G128" s="4"/>
      <c r="H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</row>
  </sheetData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2.0"/>
    <col customWidth="1" min="2" max="2" width="26.0"/>
    <col customWidth="1" min="3" max="3" width="12.0"/>
    <col customWidth="1" min="4" max="4" width="11.0"/>
    <col customWidth="1" min="5" max="5" width="16.0"/>
    <col customWidth="1" min="6" max="6" width="14.0"/>
    <col customWidth="1" min="7" max="26" width="8.71"/>
  </cols>
  <sheetData>
    <row r="1" ht="30.0" customHeight="1">
      <c r="A1" s="1" t="s">
        <v>772</v>
      </c>
      <c r="B1" s="2"/>
      <c r="C1" s="2"/>
      <c r="D1" s="2"/>
      <c r="E1" s="2"/>
      <c r="F1" s="3"/>
    </row>
    <row r="2" ht="15.0" customHeight="1">
      <c r="A2" s="7" t="s">
        <v>773</v>
      </c>
    </row>
    <row r="3" ht="26.25" customHeight="1">
      <c r="A3" s="8" t="s">
        <v>585</v>
      </c>
      <c r="B3" s="8" t="s">
        <v>774</v>
      </c>
      <c r="C3" s="8" t="s">
        <v>213</v>
      </c>
      <c r="D3" s="8" t="s">
        <v>214</v>
      </c>
      <c r="E3" s="8" t="s">
        <v>215</v>
      </c>
      <c r="F3" s="8" t="s">
        <v>216</v>
      </c>
    </row>
    <row r="4" ht="15.0" customHeight="1">
      <c r="A4" s="10" t="s">
        <v>775</v>
      </c>
      <c r="B4" s="9" t="s">
        <v>128</v>
      </c>
      <c r="C4" s="9" t="s">
        <v>776</v>
      </c>
      <c r="D4" s="12">
        <v>200.0</v>
      </c>
      <c r="E4" s="23">
        <f>VLOOKUP(B4,Ingredient_Master!$B$4:$I$79,8,FALSE())</f>
        <v>0.0875</v>
      </c>
      <c r="F4" s="13">
        <f t="shared" ref="F4:F6" si="1">D4*E4</f>
        <v>17.5</v>
      </c>
    </row>
    <row r="5" ht="15.0" customHeight="1">
      <c r="A5" s="10"/>
      <c r="B5" s="9" t="s">
        <v>102</v>
      </c>
      <c r="C5" s="9" t="s">
        <v>777</v>
      </c>
      <c r="D5" s="12">
        <v>20.0</v>
      </c>
      <c r="E5" s="23">
        <f>VLOOKUP(B5,Ingredient_Master!$B$4:$I$79,8,FALSE())</f>
        <v>0.32</v>
      </c>
      <c r="F5" s="13">
        <f t="shared" si="1"/>
        <v>6.4</v>
      </c>
    </row>
    <row r="6" ht="15.0" customHeight="1">
      <c r="A6" s="10"/>
      <c r="B6" s="9" t="s">
        <v>170</v>
      </c>
      <c r="C6" s="9" t="s">
        <v>286</v>
      </c>
      <c r="D6" s="12">
        <v>2.0</v>
      </c>
      <c r="E6" s="23">
        <f>VLOOKUP(B6,Ingredient_Master!$B$4:$I$79,8,FALSE())</f>
        <v>0.03</v>
      </c>
      <c r="F6" s="13">
        <f t="shared" si="1"/>
        <v>0.06</v>
      </c>
    </row>
    <row r="7" ht="15.0" customHeight="1">
      <c r="A7" s="35" t="s">
        <v>778</v>
      </c>
      <c r="B7" s="36"/>
      <c r="C7" s="36"/>
      <c r="D7" s="36"/>
      <c r="E7" s="36"/>
      <c r="F7" s="37">
        <f>SUM(F4:F6)</f>
        <v>23.96</v>
      </c>
    </row>
    <row r="8" ht="15.0" customHeight="1">
      <c r="A8" s="10" t="s">
        <v>596</v>
      </c>
      <c r="B8" s="9" t="s">
        <v>124</v>
      </c>
      <c r="C8" s="9" t="s">
        <v>779</v>
      </c>
      <c r="D8" s="12">
        <v>90.0</v>
      </c>
      <c r="E8" s="23">
        <f>VLOOKUP(B8,Ingredient_Master!$B$4:$I$79,8,FALSE())</f>
        <v>0.15</v>
      </c>
      <c r="F8" s="13">
        <f t="shared" ref="F8:F10" si="2">D8*E8</f>
        <v>13.5</v>
      </c>
    </row>
    <row r="9" ht="15.0" customHeight="1">
      <c r="A9" s="10"/>
      <c r="B9" s="9" t="s">
        <v>102</v>
      </c>
      <c r="C9" s="9" t="s">
        <v>777</v>
      </c>
      <c r="D9" s="12">
        <v>8.0</v>
      </c>
      <c r="E9" s="23">
        <f>VLOOKUP(B9,Ingredient_Master!$B$4:$I$79,8,FALSE())</f>
        <v>0.32</v>
      </c>
      <c r="F9" s="13">
        <f t="shared" si="2"/>
        <v>2.56</v>
      </c>
    </row>
    <row r="10" ht="15.0" customHeight="1">
      <c r="A10" s="10"/>
      <c r="B10" s="9" t="s">
        <v>170</v>
      </c>
      <c r="C10" s="9" t="s">
        <v>286</v>
      </c>
      <c r="D10" s="12">
        <v>2.0</v>
      </c>
      <c r="E10" s="23">
        <f>VLOOKUP(B10,Ingredient_Master!$B$4:$I$79,8,FALSE())</f>
        <v>0.03</v>
      </c>
      <c r="F10" s="13">
        <f t="shared" si="2"/>
        <v>0.06</v>
      </c>
    </row>
    <row r="11" ht="15.0" customHeight="1">
      <c r="A11" s="35" t="s">
        <v>780</v>
      </c>
      <c r="B11" s="36"/>
      <c r="C11" s="36"/>
      <c r="D11" s="36"/>
      <c r="E11" s="36"/>
      <c r="F11" s="37">
        <f>SUM(F8:F10)</f>
        <v>16.12</v>
      </c>
    </row>
    <row r="12" ht="15.0" customHeight="1">
      <c r="A12" s="10" t="s">
        <v>598</v>
      </c>
      <c r="B12" s="9" t="s">
        <v>126</v>
      </c>
      <c r="C12" s="9" t="s">
        <v>781</v>
      </c>
      <c r="D12" s="12">
        <v>130.0</v>
      </c>
      <c r="E12" s="23">
        <f>VLOOKUP(B12,Ingredient_Master!$B$4:$I$79,8,FALSE())</f>
        <v>0.07</v>
      </c>
      <c r="F12" s="13">
        <f t="shared" ref="F12:F13" si="3">D12*E12</f>
        <v>9.1</v>
      </c>
    </row>
    <row r="13" ht="15.0" customHeight="1">
      <c r="A13" s="10"/>
      <c r="B13" s="9" t="s">
        <v>170</v>
      </c>
      <c r="C13" s="9" t="s">
        <v>702</v>
      </c>
      <c r="D13" s="12">
        <v>1.0</v>
      </c>
      <c r="E13" s="23">
        <f>VLOOKUP(B13,Ingredient_Master!$B$4:$I$79,8,FALSE())</f>
        <v>0.03</v>
      </c>
      <c r="F13" s="13">
        <f t="shared" si="3"/>
        <v>0.03</v>
      </c>
    </row>
    <row r="14" ht="15.0" customHeight="1">
      <c r="A14" s="35" t="s">
        <v>782</v>
      </c>
      <c r="B14" s="36"/>
      <c r="C14" s="36"/>
      <c r="D14" s="36"/>
      <c r="E14" s="36"/>
      <c r="F14" s="37">
        <f>SUM(F12:F13)</f>
        <v>9.13</v>
      </c>
    </row>
    <row r="15" ht="15.0" customHeight="1">
      <c r="A15" s="10" t="s">
        <v>600</v>
      </c>
      <c r="B15" s="9" t="s">
        <v>126</v>
      </c>
      <c r="C15" s="9" t="s">
        <v>783</v>
      </c>
      <c r="D15" s="12">
        <v>150.0</v>
      </c>
      <c r="E15" s="23">
        <f>VLOOKUP(B15,Ingredient_Master!$B$4:$I$79,8,FALSE())</f>
        <v>0.07</v>
      </c>
      <c r="F15" s="13">
        <f t="shared" ref="F15:F16" si="4">D15*E15</f>
        <v>10.5</v>
      </c>
    </row>
    <row r="16" ht="15.0" customHeight="1">
      <c r="A16" s="10"/>
      <c r="B16" s="9" t="s">
        <v>170</v>
      </c>
      <c r="C16" s="9" t="s">
        <v>702</v>
      </c>
      <c r="D16" s="12">
        <v>1.0</v>
      </c>
      <c r="E16" s="23">
        <f>VLOOKUP(B16,Ingredient_Master!$B$4:$I$79,8,FALSE())</f>
        <v>0.03</v>
      </c>
      <c r="F16" s="13">
        <f t="shared" si="4"/>
        <v>0.03</v>
      </c>
    </row>
    <row r="17" ht="15.0" customHeight="1">
      <c r="A17" s="35" t="s">
        <v>784</v>
      </c>
      <c r="B17" s="36"/>
      <c r="C17" s="36"/>
      <c r="D17" s="36"/>
      <c r="E17" s="36"/>
      <c r="F17" s="37">
        <f>SUM(F15:F16)</f>
        <v>10.53</v>
      </c>
    </row>
    <row r="18" ht="15.0" customHeight="1">
      <c r="A18" s="10" t="s">
        <v>584</v>
      </c>
      <c r="B18" s="9" t="s">
        <v>115</v>
      </c>
      <c r="C18" s="9" t="s">
        <v>785</v>
      </c>
      <c r="D18" s="12">
        <v>120.0</v>
      </c>
      <c r="E18" s="23">
        <f>VLOOKUP(B18,Ingredient_Master!$B$4:$I$79,8,FALSE())</f>
        <v>0.13</v>
      </c>
      <c r="F18" s="13">
        <f t="shared" ref="F18:F20" si="5">D18*E18</f>
        <v>15.6</v>
      </c>
    </row>
    <row r="19" ht="15.0" customHeight="1">
      <c r="A19" s="10"/>
      <c r="B19" s="9" t="s">
        <v>102</v>
      </c>
      <c r="C19" s="9" t="s">
        <v>702</v>
      </c>
      <c r="D19" s="12">
        <v>20.0</v>
      </c>
      <c r="E19" s="23">
        <f>VLOOKUP(B19,Ingredient_Master!$B$4:$I$79,8,FALSE())</f>
        <v>0.32</v>
      </c>
      <c r="F19" s="13">
        <f t="shared" si="5"/>
        <v>6.4</v>
      </c>
    </row>
    <row r="20" ht="15.0" customHeight="1">
      <c r="A20" s="10"/>
      <c r="B20" s="9" t="s">
        <v>170</v>
      </c>
      <c r="C20" s="9" t="s">
        <v>702</v>
      </c>
      <c r="D20" s="12">
        <v>2.0</v>
      </c>
      <c r="E20" s="23">
        <f>VLOOKUP(B20,Ingredient_Master!$B$4:$I$79,8,FALSE())</f>
        <v>0.03</v>
      </c>
      <c r="F20" s="13">
        <f t="shared" si="5"/>
        <v>0.06</v>
      </c>
    </row>
    <row r="21" ht="15.0" customHeight="1">
      <c r="A21" s="35" t="s">
        <v>786</v>
      </c>
      <c r="B21" s="36"/>
      <c r="C21" s="36"/>
      <c r="D21" s="36"/>
      <c r="E21" s="36"/>
      <c r="F21" s="37">
        <f>SUM(F18:F20)</f>
        <v>22.06</v>
      </c>
    </row>
    <row r="22" ht="15.0" customHeight="1">
      <c r="A22" s="10" t="s">
        <v>594</v>
      </c>
      <c r="B22" s="9" t="s">
        <v>136</v>
      </c>
      <c r="C22" s="9" t="s">
        <v>702</v>
      </c>
      <c r="D22" s="12">
        <v>80.0</v>
      </c>
      <c r="E22" s="23">
        <f>VLOOKUP(B22,Ingredient_Master!$B$4:$I$79,8,FALSE())</f>
        <v>0.1333333333</v>
      </c>
      <c r="F22" s="13">
        <f t="shared" ref="F22:F25" si="6">D22*E22</f>
        <v>10.66666667</v>
      </c>
    </row>
    <row r="23" ht="15.0" customHeight="1">
      <c r="A23" s="10"/>
      <c r="B23" s="9" t="s">
        <v>134</v>
      </c>
      <c r="C23" s="9" t="s">
        <v>702</v>
      </c>
      <c r="D23" s="12">
        <v>60.0</v>
      </c>
      <c r="E23" s="23">
        <f>VLOOKUP(B23,Ingredient_Master!$B$4:$I$79,8,FALSE())</f>
        <v>0.1333333333</v>
      </c>
      <c r="F23" s="13">
        <f t="shared" si="6"/>
        <v>8</v>
      </c>
    </row>
    <row r="24" ht="15.0" customHeight="1">
      <c r="A24" s="10"/>
      <c r="B24" s="9" t="s">
        <v>147</v>
      </c>
      <c r="C24" s="9" t="s">
        <v>702</v>
      </c>
      <c r="D24" s="12">
        <v>5.0</v>
      </c>
      <c r="E24" s="23">
        <f>VLOOKUP(B24,Ingredient_Master!$B$4:$I$79,8,FALSE())</f>
        <v>0.1111111111</v>
      </c>
      <c r="F24" s="13">
        <f t="shared" si="6"/>
        <v>0.5555555556</v>
      </c>
    </row>
    <row r="25" ht="15.0" customHeight="1">
      <c r="A25" s="10"/>
      <c r="B25" s="9" t="s">
        <v>149</v>
      </c>
      <c r="C25" s="9" t="s">
        <v>702</v>
      </c>
      <c r="D25" s="12">
        <v>0.3</v>
      </c>
      <c r="E25" s="23">
        <f>VLOOKUP(B25,Ingredient_Master!$B$4:$I$79,8,FALSE())</f>
        <v>15</v>
      </c>
      <c r="F25" s="13">
        <f t="shared" si="6"/>
        <v>4.5</v>
      </c>
    </row>
    <row r="26" ht="15.0" customHeight="1">
      <c r="A26" s="35" t="s">
        <v>787</v>
      </c>
      <c r="B26" s="36"/>
      <c r="C26" s="36"/>
      <c r="D26" s="36"/>
      <c r="E26" s="36"/>
      <c r="F26" s="37">
        <f>SUM(F22:F25)</f>
        <v>23.72222222</v>
      </c>
    </row>
    <row r="27" ht="15.75" customHeight="1">
      <c r="A27" s="4"/>
      <c r="B27" s="4"/>
      <c r="C27" s="4"/>
      <c r="D27" s="4"/>
      <c r="E27" s="4"/>
      <c r="F27" s="4"/>
    </row>
    <row r="28" ht="15.0" customHeight="1">
      <c r="A28" s="29" t="s">
        <v>788</v>
      </c>
      <c r="B28" s="38"/>
      <c r="C28" s="38"/>
      <c r="D28" s="38"/>
      <c r="E28" s="38"/>
      <c r="F28" s="39">
        <f>(F7+F11+F14+F17+F21+F26)/6</f>
        <v>17.58703704</v>
      </c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>
      <c r="A34" s="4"/>
      <c r="B34" s="4"/>
      <c r="C34" s="4"/>
      <c r="D34" s="4"/>
      <c r="E34" s="4"/>
      <c r="F34" s="4"/>
    </row>
    <row r="35" ht="15.75" customHeight="1">
      <c r="A35" s="4"/>
      <c r="B35" s="4"/>
      <c r="C35" s="4"/>
      <c r="D35" s="4"/>
      <c r="E35" s="4"/>
      <c r="F35" s="4"/>
    </row>
    <row r="36" ht="15.75" customHeight="1">
      <c r="A36" s="4"/>
      <c r="B36" s="4"/>
      <c r="C36" s="4"/>
      <c r="D36" s="4"/>
      <c r="E36" s="4"/>
      <c r="F36" s="4"/>
    </row>
    <row r="37" ht="15.75" customHeight="1">
      <c r="A37" s="4"/>
      <c r="B37" s="4"/>
      <c r="C37" s="4"/>
      <c r="D37" s="4"/>
      <c r="E37" s="4"/>
      <c r="F37" s="4"/>
    </row>
    <row r="38" ht="15.75" customHeight="1">
      <c r="A38" s="4"/>
      <c r="B38" s="4"/>
      <c r="C38" s="4"/>
      <c r="D38" s="4"/>
      <c r="E38" s="4"/>
      <c r="F38" s="4"/>
    </row>
    <row r="39" ht="15.75" customHeight="1">
      <c r="A39" s="4"/>
      <c r="B39" s="4"/>
      <c r="C39" s="4"/>
      <c r="D39" s="4"/>
      <c r="E39" s="4"/>
      <c r="F39" s="4"/>
    </row>
    <row r="40" ht="15.75" customHeight="1">
      <c r="A40" s="4"/>
      <c r="B40" s="4"/>
      <c r="C40" s="4"/>
      <c r="D40" s="4"/>
      <c r="E40" s="4"/>
      <c r="F40" s="4"/>
    </row>
    <row r="41" ht="15.75" customHeight="1">
      <c r="A41" s="4"/>
      <c r="B41" s="4"/>
      <c r="C41" s="4"/>
      <c r="D41" s="4"/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2.0"/>
    <col customWidth="1" min="3" max="3" width="18.0"/>
    <col customWidth="1" min="4" max="4" width="15.0"/>
    <col customWidth="1" min="5" max="5" width="8.0"/>
    <col customWidth="1" min="6" max="8" width="14.0"/>
    <col customWidth="1" min="9" max="9" width="13.0"/>
    <col customWidth="1" min="10" max="26" width="8.71"/>
  </cols>
  <sheetData>
    <row r="1" ht="30.0" customHeight="1">
      <c r="A1" s="1" t="s">
        <v>789</v>
      </c>
      <c r="B1" s="2"/>
      <c r="C1" s="2"/>
      <c r="D1" s="2"/>
      <c r="E1" s="2"/>
      <c r="F1" s="2"/>
      <c r="G1" s="2"/>
      <c r="H1" s="2"/>
      <c r="I1" s="3"/>
    </row>
    <row r="2">
      <c r="A2" s="4"/>
      <c r="B2" s="4"/>
      <c r="C2" s="4"/>
      <c r="D2" s="4"/>
      <c r="E2" s="4"/>
      <c r="F2" s="4"/>
      <c r="G2" s="4"/>
      <c r="H2" s="4"/>
      <c r="I2" s="4"/>
    </row>
    <row r="3" ht="15.0" customHeight="1">
      <c r="A3" s="40" t="s">
        <v>790</v>
      </c>
      <c r="B3" s="2"/>
      <c r="C3" s="2"/>
      <c r="D3" s="2"/>
      <c r="E3" s="2"/>
      <c r="F3" s="2"/>
      <c r="G3" s="2"/>
      <c r="H3" s="2"/>
      <c r="I3" s="3"/>
    </row>
    <row r="4" ht="51.75" customHeight="1">
      <c r="A4" s="8" t="s">
        <v>791</v>
      </c>
      <c r="B4" s="8" t="s">
        <v>792</v>
      </c>
      <c r="C4" s="8" t="s">
        <v>793</v>
      </c>
      <c r="D4" s="8" t="s">
        <v>794</v>
      </c>
      <c r="E4" s="8" t="s">
        <v>795</v>
      </c>
      <c r="F4" s="8" t="s">
        <v>796</v>
      </c>
      <c r="G4" s="8" t="s">
        <v>797</v>
      </c>
      <c r="H4" s="8" t="s">
        <v>798</v>
      </c>
      <c r="I4" s="8" t="s">
        <v>796</v>
      </c>
    </row>
    <row r="5" ht="15.0" customHeight="1">
      <c r="A5" s="10" t="s">
        <v>799</v>
      </c>
      <c r="B5" s="9" t="s">
        <v>800</v>
      </c>
      <c r="C5" s="41">
        <v>0.5625</v>
      </c>
      <c r="D5" s="12">
        <v>700.0</v>
      </c>
      <c r="E5" s="23">
        <f>C5*SUMIF(Recipe_BOM!$A$4:$A$288,"PIZ003",Recipe_BOM!$H$4:$H$288)</f>
        <v>215.865</v>
      </c>
      <c r="F5" s="24">
        <f t="shared" ref="F5:F7" si="1">E5/D5</f>
        <v>0.3083785714</v>
      </c>
      <c r="G5" s="12">
        <v>800.0</v>
      </c>
      <c r="H5" s="23">
        <f>C5*SUMIF(Recipe_BOM!$A$4:$A$288,"PIZ012",Recipe_BOM!$H$4:$H$288)</f>
        <v>263.7635969</v>
      </c>
      <c r="I5" s="24">
        <f t="shared" ref="I5:I7" si="2">H5/G5</f>
        <v>0.3297044962</v>
      </c>
    </row>
    <row r="6" ht="15.0" customHeight="1">
      <c r="A6" s="10" t="s">
        <v>801</v>
      </c>
      <c r="B6" s="9" t="s">
        <v>802</v>
      </c>
      <c r="C6" s="41">
        <v>0.7639</v>
      </c>
      <c r="D6" s="12">
        <v>1000.0</v>
      </c>
      <c r="E6" s="23">
        <f>C6*SUMIF(Recipe_BOM!$A$4:$A$288,"PIZ003",Recipe_BOM!$H$4:$H$288)</f>
        <v>293.154264</v>
      </c>
      <c r="F6" s="24">
        <f t="shared" si="1"/>
        <v>0.293154264</v>
      </c>
      <c r="G6" s="12">
        <v>1300.0</v>
      </c>
      <c r="H6" s="23">
        <f>C6*SUMIF(Recipe_BOM!$A$4:$A$288,"PIZ012",Recipe_BOM!$H$4:$H$288)</f>
        <v>358.2026875</v>
      </c>
      <c r="I6" s="24">
        <f t="shared" si="2"/>
        <v>0.2755405288</v>
      </c>
    </row>
    <row r="7" ht="15.0" customHeight="1">
      <c r="A7" s="10" t="s">
        <v>803</v>
      </c>
      <c r="B7" s="9" t="s">
        <v>804</v>
      </c>
      <c r="C7" s="41">
        <v>1.0</v>
      </c>
      <c r="D7" s="12">
        <v>1200.0</v>
      </c>
      <c r="E7" s="23">
        <f>C7*SUMIF(Recipe_BOM!$A$4:$A$288,"PIZ003",Recipe_BOM!$H$4:$H$288)</f>
        <v>383.76</v>
      </c>
      <c r="F7" s="24">
        <f t="shared" si="1"/>
        <v>0.3198</v>
      </c>
      <c r="G7" s="12">
        <v>1600.0</v>
      </c>
      <c r="H7" s="23">
        <f>C7*SUMIF(Recipe_BOM!$A$4:$A$288,"PIZ012",Recipe_BOM!$H$4:$H$288)</f>
        <v>468.9130612</v>
      </c>
      <c r="I7" s="24">
        <f t="shared" si="2"/>
        <v>0.2930706633</v>
      </c>
    </row>
    <row r="8" ht="15.0" customHeight="1">
      <c r="A8" s="7" t="s">
        <v>805</v>
      </c>
    </row>
    <row r="9">
      <c r="A9" s="4"/>
      <c r="B9" s="4"/>
      <c r="C9" s="4"/>
      <c r="D9" s="4"/>
      <c r="E9" s="4"/>
      <c r="F9" s="4"/>
      <c r="G9" s="4"/>
      <c r="H9" s="4"/>
      <c r="I9" s="4"/>
    </row>
    <row r="10" ht="15.0" customHeight="1">
      <c r="A10" s="40" t="s">
        <v>806</v>
      </c>
      <c r="B10" s="2"/>
      <c r="C10" s="2"/>
      <c r="D10" s="2"/>
      <c r="E10" s="2"/>
      <c r="F10" s="2"/>
      <c r="G10" s="2"/>
      <c r="H10" s="2"/>
      <c r="I10" s="3"/>
    </row>
    <row r="11" ht="26.25" customHeight="1">
      <c r="A11" s="8" t="s">
        <v>494</v>
      </c>
      <c r="B11" s="8" t="s">
        <v>807</v>
      </c>
      <c r="C11" s="8" t="s">
        <v>774</v>
      </c>
      <c r="D11" s="8" t="s">
        <v>214</v>
      </c>
      <c r="E11" s="8" t="s">
        <v>455</v>
      </c>
      <c r="F11" s="8" t="s">
        <v>808</v>
      </c>
      <c r="G11" s="8" t="s">
        <v>809</v>
      </c>
      <c r="H11" s="8" t="s">
        <v>810</v>
      </c>
      <c r="I11" s="8" t="s">
        <v>811</v>
      </c>
    </row>
    <row r="12" ht="15.0" customHeight="1">
      <c r="A12" s="10" t="s">
        <v>701</v>
      </c>
      <c r="B12" s="9" t="s">
        <v>812</v>
      </c>
      <c r="C12" s="9" t="s">
        <v>98</v>
      </c>
      <c r="D12" s="12">
        <v>40.0</v>
      </c>
      <c r="E12" s="9" t="s">
        <v>65</v>
      </c>
      <c r="F12" s="23">
        <f>VLOOKUP(C12,Ingredient_Master!$B$4:$I$79,8,FALSE())</f>
        <v>1</v>
      </c>
      <c r="G12" s="13">
        <f t="shared" ref="G12:G20" si="3">D12*F12</f>
        <v>40</v>
      </c>
      <c r="H12" s="12">
        <v>200.0</v>
      </c>
      <c r="I12" s="24">
        <f t="shared" ref="I12:I20" si="4">G12/H12</f>
        <v>0.2</v>
      </c>
    </row>
    <row r="13" ht="15.0" customHeight="1">
      <c r="A13" s="10" t="s">
        <v>813</v>
      </c>
      <c r="B13" s="9" t="s">
        <v>436</v>
      </c>
      <c r="C13" s="9" t="s">
        <v>91</v>
      </c>
      <c r="D13" s="12">
        <v>40.0</v>
      </c>
      <c r="E13" s="9" t="s">
        <v>65</v>
      </c>
      <c r="F13" s="23">
        <f>VLOOKUP(C13,Ingredient_Master!$B$4:$I$79,8,FALSE())</f>
        <v>1.111111111</v>
      </c>
      <c r="G13" s="13">
        <f t="shared" si="3"/>
        <v>44.44444444</v>
      </c>
      <c r="H13" s="12">
        <v>250.0</v>
      </c>
      <c r="I13" s="24">
        <f t="shared" si="4"/>
        <v>0.1777777778</v>
      </c>
    </row>
    <row r="14" ht="15.0" customHeight="1">
      <c r="A14" s="10" t="s">
        <v>814</v>
      </c>
      <c r="B14" s="9" t="s">
        <v>426</v>
      </c>
      <c r="C14" s="9" t="s">
        <v>96</v>
      </c>
      <c r="D14" s="12">
        <v>50.0</v>
      </c>
      <c r="E14" s="9" t="s">
        <v>65</v>
      </c>
      <c r="F14" s="23">
        <f>VLOOKUP(C14,Ingredient_Master!$B$4:$I$79,8,FALSE())</f>
        <v>1.1</v>
      </c>
      <c r="G14" s="13">
        <f t="shared" si="3"/>
        <v>55</v>
      </c>
      <c r="H14" s="12">
        <v>200.0</v>
      </c>
      <c r="I14" s="24">
        <f t="shared" si="4"/>
        <v>0.275</v>
      </c>
    </row>
    <row r="15" ht="15.0" customHeight="1">
      <c r="A15" s="10" t="s">
        <v>815</v>
      </c>
      <c r="B15" s="9" t="s">
        <v>426</v>
      </c>
      <c r="C15" s="9" t="s">
        <v>85</v>
      </c>
      <c r="D15" s="12">
        <v>40.0</v>
      </c>
      <c r="E15" s="9" t="s">
        <v>65</v>
      </c>
      <c r="F15" s="23">
        <f>VLOOKUP(C15,Ingredient_Master!$B$4:$I$79,8,FALSE())</f>
        <v>1.224489796</v>
      </c>
      <c r="G15" s="13">
        <f t="shared" si="3"/>
        <v>48.97959184</v>
      </c>
      <c r="H15" s="12">
        <v>250.0</v>
      </c>
      <c r="I15" s="24">
        <f t="shared" si="4"/>
        <v>0.1959183673</v>
      </c>
    </row>
    <row r="16" ht="15.0" customHeight="1">
      <c r="A16" s="10" t="s">
        <v>733</v>
      </c>
      <c r="B16" s="9" t="s">
        <v>816</v>
      </c>
      <c r="C16" s="9" t="s">
        <v>204</v>
      </c>
      <c r="D16" s="12">
        <v>20.0</v>
      </c>
      <c r="E16" s="9" t="s">
        <v>104</v>
      </c>
      <c r="F16" s="23">
        <f>VLOOKUP(C16,Ingredient_Master!$B$4:$I$79,8,FALSE())</f>
        <v>0.8</v>
      </c>
      <c r="G16" s="13">
        <f t="shared" si="3"/>
        <v>16</v>
      </c>
      <c r="H16" s="12">
        <v>200.0</v>
      </c>
      <c r="I16" s="24">
        <f t="shared" si="4"/>
        <v>0.08</v>
      </c>
    </row>
    <row r="17" ht="15.0" customHeight="1">
      <c r="A17" s="10" t="s">
        <v>738</v>
      </c>
      <c r="B17" s="9" t="s">
        <v>817</v>
      </c>
      <c r="C17" s="9" t="s">
        <v>166</v>
      </c>
      <c r="D17" s="12">
        <v>20.0</v>
      </c>
      <c r="E17" s="9" t="s">
        <v>65</v>
      </c>
      <c r="F17" s="23">
        <f>VLOOKUP(C17,Ingredient_Master!$B$4:$I$79,8,FALSE())</f>
        <v>0.55</v>
      </c>
      <c r="G17" s="13">
        <f t="shared" si="3"/>
        <v>11</v>
      </c>
      <c r="H17" s="12">
        <v>60.0</v>
      </c>
      <c r="I17" s="24">
        <f t="shared" si="4"/>
        <v>0.1833333333</v>
      </c>
    </row>
    <row r="18" ht="15.0" customHeight="1">
      <c r="A18" s="10" t="s">
        <v>818</v>
      </c>
      <c r="B18" s="9" t="s">
        <v>819</v>
      </c>
      <c r="C18" s="9" t="s">
        <v>192</v>
      </c>
      <c r="D18" s="12">
        <v>8.0</v>
      </c>
      <c r="E18" s="9" t="s">
        <v>65</v>
      </c>
      <c r="F18" s="23">
        <f>VLOOKUP(C18,Ingredient_Master!$B$4:$I$79,8,FALSE())</f>
        <v>2.5</v>
      </c>
      <c r="G18" s="13">
        <f t="shared" si="3"/>
        <v>20</v>
      </c>
      <c r="H18" s="12">
        <v>100.0</v>
      </c>
      <c r="I18" s="24">
        <f t="shared" si="4"/>
        <v>0.2</v>
      </c>
    </row>
    <row r="19" ht="15.0" customHeight="1">
      <c r="A19" s="10" t="s">
        <v>491</v>
      </c>
      <c r="B19" s="9" t="s">
        <v>820</v>
      </c>
      <c r="C19" s="9" t="s">
        <v>206</v>
      </c>
      <c r="D19" s="12">
        <v>15.0</v>
      </c>
      <c r="E19" s="9" t="s">
        <v>65</v>
      </c>
      <c r="F19" s="23">
        <f>VLOOKUP(C19,Ingredient_Master!$B$4:$I$79,8,FALSE())</f>
        <v>0.9</v>
      </c>
      <c r="G19" s="13">
        <f t="shared" si="3"/>
        <v>13.5</v>
      </c>
      <c r="H19" s="12">
        <v>150.0</v>
      </c>
      <c r="I19" s="24">
        <f t="shared" si="4"/>
        <v>0.09</v>
      </c>
    </row>
    <row r="20" ht="15.0" customHeight="1">
      <c r="A20" s="10" t="s">
        <v>821</v>
      </c>
      <c r="B20" s="9" t="s">
        <v>822</v>
      </c>
      <c r="C20" s="9" t="s">
        <v>187</v>
      </c>
      <c r="D20" s="12">
        <v>1.0</v>
      </c>
      <c r="E20" s="9" t="s">
        <v>94</v>
      </c>
      <c r="F20" s="23">
        <f>VLOOKUP(C20,Ingredient_Master!$B$4:$I$79,8,FALSE())</f>
        <v>80</v>
      </c>
      <c r="G20" s="13">
        <f t="shared" si="3"/>
        <v>80</v>
      </c>
      <c r="H20" s="12">
        <v>80.0</v>
      </c>
      <c r="I20" s="24">
        <f t="shared" si="4"/>
        <v>1</v>
      </c>
    </row>
    <row r="21" ht="15.0" customHeight="1">
      <c r="A21" s="7" t="s">
        <v>823</v>
      </c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</row>
    <row r="23" ht="15.0" customHeight="1">
      <c r="A23" s="40" t="s">
        <v>824</v>
      </c>
      <c r="B23" s="2"/>
      <c r="C23" s="2"/>
      <c r="D23" s="2"/>
      <c r="E23" s="2"/>
      <c r="F23" s="2"/>
      <c r="G23" s="2"/>
      <c r="H23" s="2"/>
      <c r="I23" s="3"/>
    </row>
    <row r="24" ht="15.0" customHeight="1">
      <c r="A24" s="9" t="s">
        <v>825</v>
      </c>
      <c r="B24" s="42"/>
      <c r="C24" s="42"/>
      <c r="D24" s="23">
        <f>Recipe_Costing!G25</f>
        <v>196.110424</v>
      </c>
      <c r="E24" s="4"/>
      <c r="F24" s="4"/>
      <c r="G24" s="4"/>
      <c r="H24" s="4"/>
      <c r="I24" s="4"/>
    </row>
    <row r="25" ht="15.0" customHeight="1">
      <c r="A25" s="9" t="s">
        <v>826</v>
      </c>
      <c r="B25" s="42"/>
      <c r="C25" s="42"/>
      <c r="D25" s="23">
        <f>G12</f>
        <v>40</v>
      </c>
      <c r="E25" s="4"/>
      <c r="F25" s="4"/>
      <c r="G25" s="4"/>
      <c r="H25" s="4"/>
      <c r="I25" s="4"/>
    </row>
    <row r="26" ht="15.0" customHeight="1">
      <c r="A26" s="10" t="s">
        <v>827</v>
      </c>
      <c r="B26" s="42"/>
      <c r="C26" s="42"/>
      <c r="D26" s="43">
        <f>D24+D25</f>
        <v>236.110424</v>
      </c>
      <c r="E26" s="4"/>
      <c r="F26" s="4"/>
      <c r="G26" s="4"/>
      <c r="H26" s="4"/>
      <c r="I26" s="4"/>
    </row>
    <row r="27" ht="15.0" customHeight="1">
      <c r="A27" s="9" t="s">
        <v>828</v>
      </c>
      <c r="B27" s="42"/>
      <c r="C27" s="42"/>
      <c r="D27" s="12">
        <v>1050.0</v>
      </c>
      <c r="E27" s="4"/>
      <c r="F27" s="4"/>
      <c r="G27" s="4"/>
      <c r="H27" s="4"/>
      <c r="I27" s="4"/>
    </row>
    <row r="28" ht="15.0" customHeight="1">
      <c r="A28" s="10" t="s">
        <v>829</v>
      </c>
      <c r="B28" s="42"/>
      <c r="C28" s="42"/>
      <c r="D28" s="44">
        <f>D26/D27</f>
        <v>0.2248670705</v>
      </c>
      <c r="E28" s="4"/>
      <c r="F28" s="4"/>
      <c r="G28" s="4"/>
      <c r="H28" s="4"/>
      <c r="I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</row>
  </sheetData>
  <mergeCells count="6">
    <mergeCell ref="A1:I1"/>
    <mergeCell ref="A3:I3"/>
    <mergeCell ref="A8:I8"/>
    <mergeCell ref="A10:I10"/>
    <mergeCell ref="A21:I21"/>
    <mergeCell ref="A23:I23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32.0"/>
    <col customWidth="1" min="3" max="3" width="15.0"/>
    <col customWidth="1" min="4" max="4" width="20.0"/>
    <col customWidth="1" min="5" max="5" width="16.0"/>
    <col customWidth="1" min="6" max="6" width="10.0"/>
    <col customWidth="1" min="7" max="26" width="8.71"/>
  </cols>
  <sheetData>
    <row r="1" ht="30.0" customHeight="1">
      <c r="A1" s="1" t="s">
        <v>830</v>
      </c>
      <c r="B1" s="2"/>
      <c r="C1" s="2"/>
      <c r="D1" s="2"/>
      <c r="E1" s="2"/>
      <c r="F1" s="3"/>
    </row>
    <row r="2" ht="15.0" customHeight="1">
      <c r="A2" s="7" t="s">
        <v>831</v>
      </c>
    </row>
    <row r="3" ht="26.25" customHeight="1">
      <c r="A3" s="8" t="s">
        <v>453</v>
      </c>
      <c r="B3" s="8" t="s">
        <v>454</v>
      </c>
      <c r="C3" s="8" t="s">
        <v>832</v>
      </c>
      <c r="D3" s="8" t="s">
        <v>833</v>
      </c>
      <c r="E3" s="8" t="s">
        <v>407</v>
      </c>
      <c r="F3" s="8" t="s">
        <v>834</v>
      </c>
    </row>
    <row r="4" ht="15.0" customHeight="1">
      <c r="A4" s="17" t="s">
        <v>505</v>
      </c>
      <c r="B4" s="16" t="s">
        <v>506</v>
      </c>
      <c r="C4" s="18">
        <v>150.0</v>
      </c>
      <c r="D4" s="18">
        <v>35.0</v>
      </c>
      <c r="E4" s="25">
        <f t="shared" ref="E4:E25" si="1">C4-D4</f>
        <v>115</v>
      </c>
      <c r="F4" s="45">
        <f t="shared" ref="F4:F25" si="2">(C4-D4)/C4</f>
        <v>0.7666666667</v>
      </c>
    </row>
    <row r="5" ht="15.0" customHeight="1">
      <c r="A5" s="10" t="s">
        <v>510</v>
      </c>
      <c r="B5" s="9" t="s">
        <v>511</v>
      </c>
      <c r="C5" s="11">
        <v>150.0</v>
      </c>
      <c r="D5" s="11">
        <v>45.0</v>
      </c>
      <c r="E5" s="46">
        <f t="shared" si="1"/>
        <v>105</v>
      </c>
      <c r="F5" s="24">
        <f t="shared" si="2"/>
        <v>0.7</v>
      </c>
    </row>
    <row r="6" ht="15.0" customHeight="1">
      <c r="A6" s="17" t="s">
        <v>512</v>
      </c>
      <c r="B6" s="16" t="s">
        <v>513</v>
      </c>
      <c r="C6" s="18">
        <v>300.0</v>
      </c>
      <c r="D6" s="18">
        <v>120.0</v>
      </c>
      <c r="E6" s="25">
        <f t="shared" si="1"/>
        <v>180</v>
      </c>
      <c r="F6" s="45">
        <f t="shared" si="2"/>
        <v>0.6</v>
      </c>
    </row>
    <row r="7" ht="15.0" customHeight="1">
      <c r="A7" s="10" t="s">
        <v>514</v>
      </c>
      <c r="B7" s="9" t="s">
        <v>515</v>
      </c>
      <c r="C7" s="11">
        <v>190.0</v>
      </c>
      <c r="D7" s="11">
        <v>80.0</v>
      </c>
      <c r="E7" s="46">
        <f t="shared" si="1"/>
        <v>110</v>
      </c>
      <c r="F7" s="24">
        <f t="shared" si="2"/>
        <v>0.5789473684</v>
      </c>
    </row>
    <row r="8" ht="15.0" customHeight="1">
      <c r="A8" s="17" t="s">
        <v>516</v>
      </c>
      <c r="B8" s="16" t="s">
        <v>517</v>
      </c>
      <c r="C8" s="18">
        <v>160.0</v>
      </c>
      <c r="D8" s="18">
        <v>25.0</v>
      </c>
      <c r="E8" s="25">
        <f t="shared" si="1"/>
        <v>135</v>
      </c>
      <c r="F8" s="45">
        <f t="shared" si="2"/>
        <v>0.84375</v>
      </c>
    </row>
    <row r="9" ht="15.0" customHeight="1">
      <c r="A9" s="10" t="s">
        <v>519</v>
      </c>
      <c r="B9" s="9" t="s">
        <v>520</v>
      </c>
      <c r="C9" s="11">
        <v>320.0</v>
      </c>
      <c r="D9" s="11">
        <v>45.0</v>
      </c>
      <c r="E9" s="46">
        <f t="shared" si="1"/>
        <v>275</v>
      </c>
      <c r="F9" s="24">
        <f t="shared" si="2"/>
        <v>0.859375</v>
      </c>
    </row>
    <row r="10" ht="15.0" customHeight="1">
      <c r="A10" s="17" t="s">
        <v>521</v>
      </c>
      <c r="B10" s="16" t="s">
        <v>522</v>
      </c>
      <c r="C10" s="18">
        <v>2500.0</v>
      </c>
      <c r="D10" s="18">
        <v>1200.0</v>
      </c>
      <c r="E10" s="25">
        <f t="shared" si="1"/>
        <v>1300</v>
      </c>
      <c r="F10" s="45">
        <f t="shared" si="2"/>
        <v>0.52</v>
      </c>
    </row>
    <row r="11" ht="15.0" customHeight="1">
      <c r="A11" s="10" t="s">
        <v>524</v>
      </c>
      <c r="B11" s="9" t="s">
        <v>525</v>
      </c>
      <c r="C11" s="11">
        <v>2500.0</v>
      </c>
      <c r="D11" s="11">
        <v>1200.0</v>
      </c>
      <c r="E11" s="46">
        <f t="shared" si="1"/>
        <v>1300</v>
      </c>
      <c r="F11" s="24">
        <f t="shared" si="2"/>
        <v>0.52</v>
      </c>
    </row>
    <row r="12" ht="15.0" customHeight="1">
      <c r="A12" s="17" t="s">
        <v>528</v>
      </c>
      <c r="B12" s="16" t="s">
        <v>529</v>
      </c>
      <c r="C12" s="18">
        <v>3000.0</v>
      </c>
      <c r="D12" s="18">
        <v>1500.0</v>
      </c>
      <c r="E12" s="25">
        <f t="shared" si="1"/>
        <v>1500</v>
      </c>
      <c r="F12" s="45">
        <f t="shared" si="2"/>
        <v>0.5</v>
      </c>
    </row>
    <row r="13" ht="15.0" customHeight="1">
      <c r="A13" s="10" t="s">
        <v>530</v>
      </c>
      <c r="B13" s="9" t="s">
        <v>531</v>
      </c>
      <c r="C13" s="11">
        <v>2850.0</v>
      </c>
      <c r="D13" s="11">
        <v>1500.0</v>
      </c>
      <c r="E13" s="46">
        <f t="shared" si="1"/>
        <v>1350</v>
      </c>
      <c r="F13" s="24">
        <f t="shared" si="2"/>
        <v>0.4736842105</v>
      </c>
    </row>
    <row r="14" ht="15.0" customHeight="1">
      <c r="A14" s="17" t="s">
        <v>526</v>
      </c>
      <c r="B14" s="16" t="s">
        <v>527</v>
      </c>
      <c r="C14" s="18">
        <v>5000.0</v>
      </c>
      <c r="D14" s="18">
        <v>2700.0</v>
      </c>
      <c r="E14" s="25">
        <f t="shared" si="1"/>
        <v>2300</v>
      </c>
      <c r="F14" s="45">
        <f t="shared" si="2"/>
        <v>0.46</v>
      </c>
    </row>
    <row r="15" ht="15.0" customHeight="1">
      <c r="A15" s="10" t="s">
        <v>568</v>
      </c>
      <c r="B15" s="9" t="s">
        <v>569</v>
      </c>
      <c r="C15" s="11">
        <v>1100.0</v>
      </c>
      <c r="D15" s="11">
        <v>550.0</v>
      </c>
      <c r="E15" s="46">
        <f t="shared" si="1"/>
        <v>550</v>
      </c>
      <c r="F15" s="24">
        <f t="shared" si="2"/>
        <v>0.5</v>
      </c>
    </row>
    <row r="16" ht="15.0" customHeight="1">
      <c r="A16" s="17" t="s">
        <v>574</v>
      </c>
      <c r="B16" s="16" t="s">
        <v>575</v>
      </c>
      <c r="C16" s="18">
        <v>750.0</v>
      </c>
      <c r="D16" s="18">
        <v>300.0</v>
      </c>
      <c r="E16" s="25">
        <f t="shared" si="1"/>
        <v>450</v>
      </c>
      <c r="F16" s="45">
        <f t="shared" si="2"/>
        <v>0.6</v>
      </c>
    </row>
    <row r="17" ht="15.0" customHeight="1">
      <c r="A17" s="10" t="s">
        <v>576</v>
      </c>
      <c r="B17" s="9" t="s">
        <v>577</v>
      </c>
      <c r="C17" s="11">
        <v>450.0</v>
      </c>
      <c r="D17" s="11">
        <v>180.0</v>
      </c>
      <c r="E17" s="46">
        <f t="shared" si="1"/>
        <v>270</v>
      </c>
      <c r="F17" s="24">
        <f t="shared" si="2"/>
        <v>0.6</v>
      </c>
    </row>
    <row r="18" ht="15.0" customHeight="1">
      <c r="A18" s="17" t="s">
        <v>500</v>
      </c>
      <c r="B18" s="16" t="s">
        <v>501</v>
      </c>
      <c r="C18" s="18">
        <v>1350.0</v>
      </c>
      <c r="D18" s="18">
        <v>700.0</v>
      </c>
      <c r="E18" s="25">
        <f t="shared" si="1"/>
        <v>650</v>
      </c>
      <c r="F18" s="45">
        <f t="shared" si="2"/>
        <v>0.4814814815</v>
      </c>
    </row>
    <row r="19" ht="15.0" customHeight="1">
      <c r="A19" s="10" t="s">
        <v>544</v>
      </c>
      <c r="B19" s="9" t="s">
        <v>545</v>
      </c>
      <c r="C19" s="11">
        <v>400.0</v>
      </c>
      <c r="D19" s="11">
        <v>150.0</v>
      </c>
      <c r="E19" s="46">
        <f t="shared" si="1"/>
        <v>250</v>
      </c>
      <c r="F19" s="24">
        <f t="shared" si="2"/>
        <v>0.625</v>
      </c>
    </row>
    <row r="20" ht="15.0" customHeight="1">
      <c r="A20" s="17" t="s">
        <v>549</v>
      </c>
      <c r="B20" s="16" t="s">
        <v>550</v>
      </c>
      <c r="C20" s="18">
        <v>450.0</v>
      </c>
      <c r="D20" s="18">
        <v>190.0</v>
      </c>
      <c r="E20" s="25">
        <f t="shared" si="1"/>
        <v>260</v>
      </c>
      <c r="F20" s="45">
        <f t="shared" si="2"/>
        <v>0.5777777778</v>
      </c>
    </row>
    <row r="21" ht="15.0" customHeight="1">
      <c r="A21" s="10" t="s">
        <v>552</v>
      </c>
      <c r="B21" s="9" t="s">
        <v>553</v>
      </c>
      <c r="C21" s="11">
        <v>300.0</v>
      </c>
      <c r="D21" s="11">
        <v>110.0</v>
      </c>
      <c r="E21" s="46">
        <f t="shared" si="1"/>
        <v>190</v>
      </c>
      <c r="F21" s="24">
        <f t="shared" si="2"/>
        <v>0.6333333333</v>
      </c>
    </row>
    <row r="22" ht="15.0" customHeight="1">
      <c r="A22" s="17" t="s">
        <v>554</v>
      </c>
      <c r="B22" s="16" t="s">
        <v>555</v>
      </c>
      <c r="C22" s="18">
        <v>550.0</v>
      </c>
      <c r="D22" s="18">
        <v>260.0</v>
      </c>
      <c r="E22" s="25">
        <f t="shared" si="1"/>
        <v>290</v>
      </c>
      <c r="F22" s="45">
        <f t="shared" si="2"/>
        <v>0.5272727273</v>
      </c>
    </row>
    <row r="23" ht="15.0" customHeight="1">
      <c r="A23" s="10" t="s">
        <v>560</v>
      </c>
      <c r="B23" s="9" t="s">
        <v>561</v>
      </c>
      <c r="C23" s="11">
        <v>400.0</v>
      </c>
      <c r="D23" s="11">
        <v>160.0</v>
      </c>
      <c r="E23" s="46">
        <f t="shared" si="1"/>
        <v>240</v>
      </c>
      <c r="F23" s="24">
        <f t="shared" si="2"/>
        <v>0.6</v>
      </c>
    </row>
    <row r="24" ht="15.0" customHeight="1">
      <c r="A24" s="17" t="s">
        <v>564</v>
      </c>
      <c r="B24" s="16" t="s">
        <v>565</v>
      </c>
      <c r="C24" s="18">
        <v>300.0</v>
      </c>
      <c r="D24" s="18">
        <v>110.0</v>
      </c>
      <c r="E24" s="25">
        <f t="shared" si="1"/>
        <v>190</v>
      </c>
      <c r="F24" s="45">
        <f t="shared" si="2"/>
        <v>0.6333333333</v>
      </c>
    </row>
    <row r="25" ht="15.0" customHeight="1">
      <c r="A25" s="10" t="s">
        <v>566</v>
      </c>
      <c r="B25" s="9" t="s">
        <v>567</v>
      </c>
      <c r="C25" s="11">
        <v>350.0</v>
      </c>
      <c r="D25" s="11">
        <v>140.0</v>
      </c>
      <c r="E25" s="46">
        <f t="shared" si="1"/>
        <v>210</v>
      </c>
      <c r="F25" s="24">
        <f t="shared" si="2"/>
        <v>0.6</v>
      </c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>
      <c r="A34" s="4"/>
      <c r="B34" s="4"/>
      <c r="C34" s="4"/>
      <c r="D34" s="4"/>
      <c r="E34" s="4"/>
      <c r="F34" s="4"/>
    </row>
    <row r="35" ht="15.75" customHeight="1">
      <c r="A35" s="4"/>
      <c r="B35" s="4"/>
      <c r="C35" s="4"/>
      <c r="D35" s="4"/>
      <c r="E35" s="4"/>
      <c r="F35" s="4"/>
    </row>
    <row r="36" ht="15.75" customHeight="1">
      <c r="A36" s="4"/>
      <c r="B36" s="4"/>
      <c r="C36" s="4"/>
      <c r="D36" s="4"/>
      <c r="E36" s="4"/>
      <c r="F36" s="4"/>
    </row>
    <row r="37" ht="15.75" customHeight="1">
      <c r="A37" s="4"/>
      <c r="B37" s="4"/>
      <c r="C37" s="4"/>
      <c r="D37" s="4"/>
      <c r="E37" s="4"/>
      <c r="F37" s="4"/>
    </row>
    <row r="38" ht="15.75" customHeight="1">
      <c r="A38" s="4"/>
      <c r="B38" s="4"/>
      <c r="C38" s="4"/>
      <c r="D38" s="4"/>
      <c r="E38" s="4"/>
      <c r="F38" s="4"/>
    </row>
    <row r="39" ht="15.75" customHeight="1">
      <c r="A39" s="4"/>
      <c r="B39" s="4"/>
      <c r="C39" s="4"/>
      <c r="D39" s="4"/>
      <c r="E39" s="4"/>
      <c r="F39" s="4"/>
    </row>
    <row r="40" ht="15.75" customHeight="1">
      <c r="A40" s="4"/>
      <c r="B40" s="4"/>
      <c r="C40" s="4"/>
      <c r="D40" s="4"/>
      <c r="E40" s="4"/>
      <c r="F40" s="4"/>
    </row>
    <row r="41" ht="15.75" customHeight="1">
      <c r="A41" s="4"/>
      <c r="B41" s="4"/>
      <c r="C41" s="4"/>
      <c r="D41" s="4"/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